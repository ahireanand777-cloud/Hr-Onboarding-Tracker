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6" tabRatio="500" activeTab="3"/>
  </bookViews>
  <sheets>
    <sheet name="Employee Master" sheetId="1" r:id="rId1"/>
    <sheet name="Onboarding Tracker" sheetId="2" r:id="rId2"/>
    <sheet name="Document Checklist" sheetId="3" r:id="rId3"/>
    <sheet name="HR Operations Dashboard" sheetId="4" r:id="rId4"/>
    <sheet name="Lists" sheetId="5" r:id="rId5"/>
  </sheets>
  <definedNames>
    <definedName name="DueSoonDays">'HR Operations Dashboard'!$B$5</definedName>
    <definedName name="EmployeeIDs">tblEmployees[Employee ID]</definedName>
    <definedName name="lstDepartment">Lists!$A$2:$A$9</definedName>
    <definedName name="lstDocType">Lists!$G$2:$G$5</definedName>
    <definedName name="lstEmpStatus">Lists!$C$2:$C$4</definedName>
    <definedName name="lstLocation">Lists!$B$2:$B$4</definedName>
    <definedName name="lstOwner">Lists!$D$2:$D$5</definedName>
    <definedName name="lstSubmission">Lists!$H$2:$H$3</definedName>
    <definedName name="lstTask">Lists!$F$2:$F$9</definedName>
    <definedName name="lstTaskStatus">Lists!$E$2:$E$4</definedName>
    <definedName name="lstVerification">Lists!$I$2:$I$4</definedName>
    <definedName name="_xlnm.Print_Area" localSheetId="3">'HR Operations Dashboard'!$A$1:$R$66</definedName>
    <definedName name="_xlnm.Print_Titles" localSheetId="2">'Document Checklist'!$1:$1</definedName>
    <definedName name="_xlnm.Print_Titles" localSheetId="0">'Employee Master'!$1:$1</definedName>
    <definedName name="_xlnm.Print_Titles" localSheetId="1">'Onboarding Tracker'!$1:$1</definedName>
    <definedName name="ReportDate">'HR Operations Dashboard'!$B$4</definedName>
  </definedNames>
  <calcPr calcId="144525"/>
  <extLst>
    <ext xmlns:loext="http://schemas.libreoffice.org/" uri="{7626C862-2A13-11E5-B345-FEFF819CDC9F}">
      <loext:extCalcPr stringRefSyntax="ExcelA1"/>
    </ext>
  </extLst>
</workbook>
</file>

<file path=xl/calcChain.xml><?xml version="1.0" encoding="utf-8"?>
<calcChain xmlns="http://schemas.openxmlformats.org/spreadsheetml/2006/main">
  <c r="B155" i="4" l="1"/>
  <c r="A155" i="4"/>
  <c r="E155" i="4" s="1"/>
  <c r="B154" i="4"/>
  <c r="A154" i="4"/>
  <c r="E154" i="4" s="1"/>
  <c r="B153" i="4"/>
  <c r="A153" i="4"/>
  <c r="B152" i="4"/>
  <c r="A152" i="4"/>
  <c r="E152" i="4" s="1"/>
  <c r="B151" i="4"/>
  <c r="A151" i="4"/>
  <c r="E151" i="4" s="1"/>
  <c r="B150" i="4"/>
  <c r="A150" i="4"/>
  <c r="E150" i="4" s="1"/>
  <c r="B149" i="4"/>
  <c r="A149" i="4"/>
  <c r="B148" i="4"/>
  <c r="A148" i="4"/>
  <c r="E148" i="4" s="1"/>
  <c r="B147" i="4"/>
  <c r="A147" i="4"/>
  <c r="E147" i="4" s="1"/>
  <c r="B146" i="4"/>
  <c r="A146" i="4"/>
  <c r="E146" i="4" s="1"/>
  <c r="B145" i="4"/>
  <c r="A145" i="4"/>
  <c r="B144" i="4"/>
  <c r="A144" i="4"/>
  <c r="D144" i="4" s="1"/>
  <c r="B143" i="4"/>
  <c r="A143" i="4"/>
  <c r="C143" i="4" s="1"/>
  <c r="B142" i="4"/>
  <c r="A142" i="4"/>
  <c r="B141" i="4"/>
  <c r="A141" i="4"/>
  <c r="D141" i="4" s="1"/>
  <c r="C140" i="4"/>
  <c r="F140" i="4" s="1"/>
  <c r="B140" i="4"/>
  <c r="A140" i="4"/>
  <c r="D140" i="4" s="1"/>
  <c r="B139" i="4"/>
  <c r="A139" i="4"/>
  <c r="C139" i="4" s="1"/>
  <c r="F139" i="4" s="1"/>
  <c r="B138" i="4"/>
  <c r="A138" i="4"/>
  <c r="B137" i="4"/>
  <c r="A137" i="4"/>
  <c r="B136" i="4"/>
  <c r="A136" i="4"/>
  <c r="C136" i="4" s="1"/>
  <c r="F136" i="4" s="1"/>
  <c r="B135" i="4"/>
  <c r="A135" i="4"/>
  <c r="C135" i="4" s="1"/>
  <c r="B134" i="4"/>
  <c r="A134" i="4"/>
  <c r="B133" i="4"/>
  <c r="A133" i="4"/>
  <c r="D133" i="4" s="1"/>
  <c r="B132" i="4"/>
  <c r="A132" i="4"/>
  <c r="C132" i="4" s="1"/>
  <c r="F132" i="4" s="1"/>
  <c r="B131" i="4"/>
  <c r="A131" i="4"/>
  <c r="C131" i="4" s="1"/>
  <c r="F131" i="4" s="1"/>
  <c r="B130" i="4"/>
  <c r="A130" i="4"/>
  <c r="B129" i="4"/>
  <c r="A129" i="4"/>
  <c r="B128" i="4"/>
  <c r="A128" i="4"/>
  <c r="D128" i="4" s="1"/>
  <c r="C127" i="4"/>
  <c r="B127" i="4"/>
  <c r="A127" i="4"/>
  <c r="B126" i="4"/>
  <c r="A126" i="4"/>
  <c r="B125" i="4"/>
  <c r="A125" i="4"/>
  <c r="D125" i="4" s="1"/>
  <c r="B124" i="4"/>
  <c r="A124" i="4"/>
  <c r="D124" i="4" s="1"/>
  <c r="B123" i="4"/>
  <c r="A123" i="4"/>
  <c r="C123" i="4" s="1"/>
  <c r="B122" i="4"/>
  <c r="A122" i="4"/>
  <c r="B121" i="4"/>
  <c r="A121" i="4"/>
  <c r="B120" i="4"/>
  <c r="A120" i="4"/>
  <c r="D120" i="4" s="1"/>
  <c r="C119" i="4"/>
  <c r="B119" i="4"/>
  <c r="A119" i="4"/>
  <c r="B118" i="4"/>
  <c r="A118" i="4"/>
  <c r="B117" i="4"/>
  <c r="A117" i="4"/>
  <c r="D117" i="4" s="1"/>
  <c r="B116" i="4"/>
  <c r="A116" i="4"/>
  <c r="D116" i="4" s="1"/>
  <c r="C115" i="4"/>
  <c r="B115" i="4"/>
  <c r="A115" i="4"/>
  <c r="B114" i="4"/>
  <c r="A114" i="4"/>
  <c r="B113" i="4"/>
  <c r="A113" i="4"/>
  <c r="C112" i="4"/>
  <c r="F112" i="4" s="1"/>
  <c r="B112" i="4"/>
  <c r="A112" i="4"/>
  <c r="D112" i="4" s="1"/>
  <c r="B111" i="4"/>
  <c r="A111" i="4"/>
  <c r="C111" i="4" s="1"/>
  <c r="B110" i="4"/>
  <c r="A110" i="4"/>
  <c r="B109" i="4"/>
  <c r="A109" i="4"/>
  <c r="D109" i="4" s="1"/>
  <c r="B108" i="4"/>
  <c r="A108" i="4"/>
  <c r="D108" i="4" s="1"/>
  <c r="B107" i="4"/>
  <c r="A107" i="4"/>
  <c r="C107" i="4" s="1"/>
  <c r="F107" i="4" s="1"/>
  <c r="B106" i="4"/>
  <c r="A106" i="4"/>
  <c r="B105" i="4"/>
  <c r="A105" i="4"/>
  <c r="B104" i="4"/>
  <c r="A104" i="4"/>
  <c r="D104" i="4" s="1"/>
  <c r="B103" i="4"/>
  <c r="A103" i="4"/>
  <c r="C103" i="4" s="1"/>
  <c r="B102" i="4"/>
  <c r="A102" i="4"/>
  <c r="B101" i="4"/>
  <c r="A101" i="4"/>
  <c r="D101" i="4" s="1"/>
  <c r="B100" i="4"/>
  <c r="A100" i="4"/>
  <c r="D100" i="4" s="1"/>
  <c r="B99" i="4"/>
  <c r="A99" i="4"/>
  <c r="C99" i="4" s="1"/>
  <c r="B98" i="4"/>
  <c r="A98" i="4"/>
  <c r="D98" i="4" s="1"/>
  <c r="C97" i="4"/>
  <c r="B97" i="4"/>
  <c r="A97" i="4"/>
  <c r="D97" i="4" s="1"/>
  <c r="D96" i="4"/>
  <c r="C96" i="4"/>
  <c r="B96" i="4"/>
  <c r="A96" i="4"/>
  <c r="A91" i="4"/>
  <c r="A90" i="4"/>
  <c r="A89" i="4"/>
  <c r="A88" i="4"/>
  <c r="A87" i="4"/>
  <c r="A86" i="4"/>
  <c r="A85" i="4"/>
  <c r="A84" i="4"/>
  <c r="C78" i="4"/>
  <c r="B78" i="4"/>
  <c r="C77" i="4"/>
  <c r="B77" i="4"/>
  <c r="B76" i="4"/>
  <c r="C76" i="4" s="1"/>
  <c r="B57" i="4"/>
  <c r="B55" i="4"/>
  <c r="A36" i="4"/>
  <c r="A35" i="4"/>
  <c r="A34" i="4"/>
  <c r="A33" i="4"/>
  <c r="B17" i="4"/>
  <c r="B13" i="4"/>
  <c r="B12" i="4"/>
  <c r="B11" i="4"/>
  <c r="B10" i="4"/>
  <c r="B9" i="4"/>
  <c r="F69" i="3"/>
  <c r="B69" i="3"/>
  <c r="F68" i="3"/>
  <c r="B68" i="3"/>
  <c r="F67" i="3"/>
  <c r="B67" i="3"/>
  <c r="F66" i="3"/>
  <c r="B66" i="3"/>
  <c r="F65" i="3"/>
  <c r="B65" i="3"/>
  <c r="F64" i="3"/>
  <c r="B64" i="3"/>
  <c r="F63" i="3"/>
  <c r="B63" i="3"/>
  <c r="F62" i="3"/>
  <c r="B62" i="3"/>
  <c r="F61" i="3"/>
  <c r="B61" i="3"/>
  <c r="F60" i="3"/>
  <c r="B60" i="3"/>
  <c r="F59" i="3"/>
  <c r="B59" i="3"/>
  <c r="F58" i="3"/>
  <c r="B58" i="3"/>
  <c r="F57" i="3"/>
  <c r="B57" i="3"/>
  <c r="F56" i="3"/>
  <c r="B56" i="3"/>
  <c r="F55" i="3"/>
  <c r="B55" i="3"/>
  <c r="F54" i="3"/>
  <c r="B54" i="3"/>
  <c r="F53" i="3"/>
  <c r="B53" i="3"/>
  <c r="F52" i="3"/>
  <c r="B52" i="3"/>
  <c r="F51" i="3"/>
  <c r="B51" i="3"/>
  <c r="F50" i="3"/>
  <c r="B50" i="3"/>
  <c r="F49" i="3"/>
  <c r="B49" i="3"/>
  <c r="F48" i="3"/>
  <c r="B48" i="3"/>
  <c r="F47" i="3"/>
  <c r="B47" i="3"/>
  <c r="F46" i="3"/>
  <c r="B46" i="3"/>
  <c r="F45" i="3"/>
  <c r="B45" i="3"/>
  <c r="F44" i="3"/>
  <c r="B44" i="3"/>
  <c r="F43" i="3"/>
  <c r="B43" i="3"/>
  <c r="F42" i="3"/>
  <c r="B42" i="3"/>
  <c r="F41" i="3"/>
  <c r="B41" i="3"/>
  <c r="F40" i="3"/>
  <c r="B40" i="3"/>
  <c r="F39" i="3"/>
  <c r="B39" i="3"/>
  <c r="F38" i="3"/>
  <c r="B38" i="3"/>
  <c r="F37" i="3"/>
  <c r="B37" i="3"/>
  <c r="F36" i="3"/>
  <c r="B36" i="3"/>
  <c r="F35" i="3"/>
  <c r="B35" i="3"/>
  <c r="F34" i="3"/>
  <c r="B34" i="3"/>
  <c r="F33" i="3"/>
  <c r="B33" i="3"/>
  <c r="F32" i="3"/>
  <c r="B32" i="3"/>
  <c r="F31" i="3"/>
  <c r="B31" i="3"/>
  <c r="F30" i="3"/>
  <c r="B30" i="3"/>
  <c r="F29" i="3"/>
  <c r="B29" i="3"/>
  <c r="F28" i="3"/>
  <c r="B28" i="3"/>
  <c r="F27" i="3"/>
  <c r="B27" i="3"/>
  <c r="F26" i="3"/>
  <c r="B26" i="3"/>
  <c r="F25" i="3"/>
  <c r="B25" i="3"/>
  <c r="F24" i="3"/>
  <c r="B24" i="3"/>
  <c r="F23" i="3"/>
  <c r="B23" i="3"/>
  <c r="F22" i="3"/>
  <c r="B22" i="3"/>
  <c r="F21" i="3"/>
  <c r="B21" i="3"/>
  <c r="F20" i="3"/>
  <c r="B20" i="3"/>
  <c r="F19" i="3"/>
  <c r="B19" i="3"/>
  <c r="F18" i="3"/>
  <c r="B18" i="3"/>
  <c r="F17" i="3"/>
  <c r="B17" i="3"/>
  <c r="F16" i="3"/>
  <c r="B16" i="3"/>
  <c r="F15" i="3"/>
  <c r="B15" i="3"/>
  <c r="F14" i="3"/>
  <c r="B14" i="3"/>
  <c r="F13" i="3"/>
  <c r="B13" i="3"/>
  <c r="F12" i="3"/>
  <c r="B12" i="3"/>
  <c r="F11" i="3"/>
  <c r="B11" i="3"/>
  <c r="F10" i="3"/>
  <c r="B10" i="3"/>
  <c r="F9" i="3"/>
  <c r="B9" i="3"/>
  <c r="F8" i="3"/>
  <c r="B8" i="3"/>
  <c r="F7" i="3"/>
  <c r="B7" i="3"/>
  <c r="F6" i="3"/>
  <c r="B6" i="3"/>
  <c r="F5" i="3"/>
  <c r="B5" i="3"/>
  <c r="F4" i="3"/>
  <c r="B4" i="3"/>
  <c r="F3" i="3"/>
  <c r="B3" i="3"/>
  <c r="F2" i="3"/>
  <c r="B54" i="4" s="1"/>
  <c r="B2" i="3"/>
  <c r="L137" i="2"/>
  <c r="J137" i="2"/>
  <c r="K137" i="2" s="1"/>
  <c r="D137" i="2"/>
  <c r="C137" i="2"/>
  <c r="L136" i="2"/>
  <c r="J136" i="2"/>
  <c r="K136" i="2" s="1"/>
  <c r="D136" i="2"/>
  <c r="C136" i="2"/>
  <c r="L135" i="2"/>
  <c r="J135" i="2"/>
  <c r="K135" i="2" s="1"/>
  <c r="D135" i="2"/>
  <c r="C135" i="2"/>
  <c r="L134" i="2"/>
  <c r="J134" i="2"/>
  <c r="K134" i="2" s="1"/>
  <c r="D134" i="2"/>
  <c r="C134" i="2"/>
  <c r="L133" i="2"/>
  <c r="K133" i="2"/>
  <c r="J133" i="2"/>
  <c r="D133" i="2"/>
  <c r="C133" i="2"/>
  <c r="L132" i="2"/>
  <c r="J132" i="2"/>
  <c r="K132" i="2" s="1"/>
  <c r="D132" i="2"/>
  <c r="C132" i="2"/>
  <c r="L131" i="2"/>
  <c r="J131" i="2"/>
  <c r="K131" i="2" s="1"/>
  <c r="D131" i="2"/>
  <c r="C131" i="2"/>
  <c r="L130" i="2"/>
  <c r="J130" i="2"/>
  <c r="K130" i="2" s="1"/>
  <c r="D130" i="2"/>
  <c r="C130" i="2"/>
  <c r="L129" i="2"/>
  <c r="J129" i="2"/>
  <c r="K129" i="2" s="1"/>
  <c r="D129" i="2"/>
  <c r="C129" i="2"/>
  <c r="L128" i="2"/>
  <c r="J128" i="2"/>
  <c r="K128" i="2" s="1"/>
  <c r="D128" i="2"/>
  <c r="C128" i="2"/>
  <c r="L127" i="2"/>
  <c r="J127" i="2"/>
  <c r="K127" i="2" s="1"/>
  <c r="D127" i="2"/>
  <c r="C127" i="2"/>
  <c r="L126" i="2"/>
  <c r="J126" i="2"/>
  <c r="K126" i="2" s="1"/>
  <c r="D126" i="2"/>
  <c r="C126" i="2"/>
  <c r="L125" i="2"/>
  <c r="K125" i="2"/>
  <c r="J125" i="2"/>
  <c r="D125" i="2"/>
  <c r="C125" i="2"/>
  <c r="L124" i="2"/>
  <c r="J124" i="2"/>
  <c r="K124" i="2" s="1"/>
  <c r="D124" i="2"/>
  <c r="C124" i="2"/>
  <c r="L123" i="2"/>
  <c r="J123" i="2"/>
  <c r="K123" i="2" s="1"/>
  <c r="D123" i="2"/>
  <c r="C123" i="2"/>
  <c r="L122" i="2"/>
  <c r="J122" i="2"/>
  <c r="K122" i="2" s="1"/>
  <c r="D122" i="2"/>
  <c r="C122" i="2"/>
  <c r="L121" i="2"/>
  <c r="J121" i="2"/>
  <c r="K121" i="2" s="1"/>
  <c r="D121" i="2"/>
  <c r="C121" i="2"/>
  <c r="L120" i="2"/>
  <c r="J120" i="2"/>
  <c r="K120" i="2" s="1"/>
  <c r="D120" i="2"/>
  <c r="C120" i="2"/>
  <c r="L119" i="2"/>
  <c r="J119" i="2"/>
  <c r="K119" i="2" s="1"/>
  <c r="D119" i="2"/>
  <c r="C119" i="2"/>
  <c r="L118" i="2"/>
  <c r="J118" i="2"/>
  <c r="K118" i="2" s="1"/>
  <c r="D118" i="2"/>
  <c r="C118" i="2"/>
  <c r="L117" i="2"/>
  <c r="K117" i="2"/>
  <c r="J117" i="2"/>
  <c r="D117" i="2"/>
  <c r="C117" i="2"/>
  <c r="L116" i="2"/>
  <c r="J116" i="2"/>
  <c r="K116" i="2" s="1"/>
  <c r="D116" i="2"/>
  <c r="C116" i="2"/>
  <c r="L115" i="2"/>
  <c r="J115" i="2"/>
  <c r="K115" i="2" s="1"/>
  <c r="D115" i="2"/>
  <c r="C115" i="2"/>
  <c r="L114" i="2"/>
  <c r="J114" i="2"/>
  <c r="K114" i="2" s="1"/>
  <c r="D114" i="2"/>
  <c r="C114" i="2"/>
  <c r="L113" i="2"/>
  <c r="J113" i="2"/>
  <c r="K113" i="2" s="1"/>
  <c r="D113" i="2"/>
  <c r="C113" i="2"/>
  <c r="L112" i="2"/>
  <c r="J112" i="2"/>
  <c r="K112" i="2" s="1"/>
  <c r="D112" i="2"/>
  <c r="C112" i="2"/>
  <c r="L111" i="2"/>
  <c r="J111" i="2"/>
  <c r="K111" i="2" s="1"/>
  <c r="D111" i="2"/>
  <c r="C111" i="2"/>
  <c r="L110" i="2"/>
  <c r="J110" i="2"/>
  <c r="K110" i="2" s="1"/>
  <c r="D110" i="2"/>
  <c r="C110" i="2"/>
  <c r="L109" i="2"/>
  <c r="K109" i="2"/>
  <c r="J109" i="2"/>
  <c r="D109" i="2"/>
  <c r="C109" i="2"/>
  <c r="L108" i="2"/>
  <c r="J108" i="2"/>
  <c r="K108" i="2" s="1"/>
  <c r="D108" i="2"/>
  <c r="C108" i="2"/>
  <c r="L107" i="2"/>
  <c r="J107" i="2"/>
  <c r="K107" i="2" s="1"/>
  <c r="D107" i="2"/>
  <c r="C107" i="2"/>
  <c r="L106" i="2"/>
  <c r="J106" i="2"/>
  <c r="K106" i="2" s="1"/>
  <c r="D106" i="2"/>
  <c r="C106" i="2"/>
  <c r="L105" i="2"/>
  <c r="J105" i="2"/>
  <c r="K105" i="2" s="1"/>
  <c r="D105" i="2"/>
  <c r="C105" i="2"/>
  <c r="L104" i="2"/>
  <c r="J104" i="2"/>
  <c r="K104" i="2" s="1"/>
  <c r="D104" i="2"/>
  <c r="C104" i="2"/>
  <c r="L103" i="2"/>
  <c r="J103" i="2"/>
  <c r="K103" i="2" s="1"/>
  <c r="D103" i="2"/>
  <c r="C103" i="2"/>
  <c r="L102" i="2"/>
  <c r="J102" i="2"/>
  <c r="K102" i="2" s="1"/>
  <c r="D102" i="2"/>
  <c r="C102" i="2"/>
  <c r="L101" i="2"/>
  <c r="K101" i="2"/>
  <c r="J101" i="2"/>
  <c r="D101" i="2"/>
  <c r="C101" i="2"/>
  <c r="L100" i="2"/>
  <c r="J100" i="2"/>
  <c r="K100" i="2" s="1"/>
  <c r="D100" i="2"/>
  <c r="C100" i="2"/>
  <c r="L99" i="2"/>
  <c r="J99" i="2"/>
  <c r="K99" i="2" s="1"/>
  <c r="D99" i="2"/>
  <c r="C99" i="2"/>
  <c r="L98" i="2"/>
  <c r="J98" i="2"/>
  <c r="K98" i="2" s="1"/>
  <c r="D98" i="2"/>
  <c r="C98" i="2"/>
  <c r="L97" i="2"/>
  <c r="J97" i="2"/>
  <c r="K97" i="2" s="1"/>
  <c r="D97" i="2"/>
  <c r="C97" i="2"/>
  <c r="L96" i="2"/>
  <c r="J96" i="2"/>
  <c r="K96" i="2" s="1"/>
  <c r="D96" i="2"/>
  <c r="C96" i="2"/>
  <c r="L95" i="2"/>
  <c r="J95" i="2"/>
  <c r="K95" i="2" s="1"/>
  <c r="D95" i="2"/>
  <c r="C95" i="2"/>
  <c r="L94" i="2"/>
  <c r="J94" i="2"/>
  <c r="K94" i="2" s="1"/>
  <c r="D94" i="2"/>
  <c r="C94" i="2"/>
  <c r="L93" i="2"/>
  <c r="J93" i="2"/>
  <c r="K93" i="2" s="1"/>
  <c r="D93" i="2"/>
  <c r="C93" i="2"/>
  <c r="L92" i="2"/>
  <c r="K92" i="2"/>
  <c r="J92" i="2"/>
  <c r="D92" i="2"/>
  <c r="C92" i="2"/>
  <c r="L91" i="2"/>
  <c r="J91" i="2"/>
  <c r="K91" i="2" s="1"/>
  <c r="D91" i="2"/>
  <c r="C91" i="2"/>
  <c r="L90" i="2"/>
  <c r="J90" i="2"/>
  <c r="K90" i="2" s="1"/>
  <c r="D90" i="2"/>
  <c r="C90" i="2"/>
  <c r="L89" i="2"/>
  <c r="J89" i="2"/>
  <c r="K89" i="2" s="1"/>
  <c r="D89" i="2"/>
  <c r="C89" i="2"/>
  <c r="L88" i="2"/>
  <c r="J88" i="2"/>
  <c r="K88" i="2" s="1"/>
  <c r="D88" i="2"/>
  <c r="C88" i="2"/>
  <c r="L87" i="2"/>
  <c r="J87" i="2"/>
  <c r="K87" i="2" s="1"/>
  <c r="D87" i="2"/>
  <c r="C87" i="2"/>
  <c r="L86" i="2"/>
  <c r="J86" i="2"/>
  <c r="K86" i="2" s="1"/>
  <c r="D86" i="2"/>
  <c r="C86" i="2"/>
  <c r="L85" i="2"/>
  <c r="J85" i="2"/>
  <c r="K85" i="2" s="1"/>
  <c r="D85" i="2"/>
  <c r="C85" i="2"/>
  <c r="L84" i="2"/>
  <c r="K84" i="2"/>
  <c r="J84" i="2"/>
  <c r="D84" i="2"/>
  <c r="C84" i="2"/>
  <c r="L83" i="2"/>
  <c r="J83" i="2"/>
  <c r="K83" i="2" s="1"/>
  <c r="D83" i="2"/>
  <c r="C83" i="2"/>
  <c r="L82" i="2"/>
  <c r="J82" i="2"/>
  <c r="K82" i="2" s="1"/>
  <c r="D82" i="2"/>
  <c r="C82" i="2"/>
  <c r="L81" i="2"/>
  <c r="J81" i="2"/>
  <c r="K81" i="2" s="1"/>
  <c r="D81" i="2"/>
  <c r="C81" i="2"/>
  <c r="L80" i="2"/>
  <c r="J80" i="2"/>
  <c r="K80" i="2" s="1"/>
  <c r="D80" i="2"/>
  <c r="C80" i="2"/>
  <c r="L79" i="2"/>
  <c r="J79" i="2"/>
  <c r="K79" i="2" s="1"/>
  <c r="D79" i="2"/>
  <c r="C79" i="2"/>
  <c r="L78" i="2"/>
  <c r="J78" i="2"/>
  <c r="K78" i="2" s="1"/>
  <c r="D78" i="2"/>
  <c r="C78" i="2"/>
  <c r="L77" i="2"/>
  <c r="J77" i="2"/>
  <c r="K77" i="2" s="1"/>
  <c r="D77" i="2"/>
  <c r="C77" i="2"/>
  <c r="L76" i="2"/>
  <c r="K76" i="2"/>
  <c r="J76" i="2"/>
  <c r="D76" i="2"/>
  <c r="C76" i="2"/>
  <c r="L75" i="2"/>
  <c r="J75" i="2"/>
  <c r="K75" i="2" s="1"/>
  <c r="D75" i="2"/>
  <c r="C75" i="2"/>
  <c r="L74" i="2"/>
  <c r="J74" i="2"/>
  <c r="K74" i="2" s="1"/>
  <c r="D74" i="2"/>
  <c r="C74" i="2"/>
  <c r="L73" i="2"/>
  <c r="J73" i="2"/>
  <c r="K73" i="2" s="1"/>
  <c r="D73" i="2"/>
  <c r="C73" i="2"/>
  <c r="L72" i="2"/>
  <c r="J72" i="2"/>
  <c r="K72" i="2" s="1"/>
  <c r="D72" i="2"/>
  <c r="C72" i="2"/>
  <c r="L71" i="2"/>
  <c r="J71" i="2"/>
  <c r="K71" i="2" s="1"/>
  <c r="D71" i="2"/>
  <c r="C71" i="2"/>
  <c r="L70" i="2"/>
  <c r="J70" i="2"/>
  <c r="K70" i="2" s="1"/>
  <c r="D70" i="2"/>
  <c r="C70" i="2"/>
  <c r="L69" i="2"/>
  <c r="J69" i="2"/>
  <c r="K69" i="2" s="1"/>
  <c r="D69" i="2"/>
  <c r="C69" i="2"/>
  <c r="L68" i="2"/>
  <c r="K68" i="2"/>
  <c r="J68" i="2"/>
  <c r="D68" i="2"/>
  <c r="C68" i="2"/>
  <c r="L67" i="2"/>
  <c r="J67" i="2"/>
  <c r="K67" i="2" s="1"/>
  <c r="D67" i="2"/>
  <c r="C67" i="2"/>
  <c r="L66" i="2"/>
  <c r="J66" i="2"/>
  <c r="K66" i="2" s="1"/>
  <c r="D66" i="2"/>
  <c r="C66" i="2"/>
  <c r="L65" i="2"/>
  <c r="J65" i="2"/>
  <c r="K65" i="2" s="1"/>
  <c r="D65" i="2"/>
  <c r="C65" i="2"/>
  <c r="L64" i="2"/>
  <c r="J64" i="2"/>
  <c r="K64" i="2" s="1"/>
  <c r="D64" i="2"/>
  <c r="C64" i="2"/>
  <c r="L63" i="2"/>
  <c r="J63" i="2"/>
  <c r="K63" i="2" s="1"/>
  <c r="D63" i="2"/>
  <c r="C63" i="2"/>
  <c r="L62" i="2"/>
  <c r="K62" i="2"/>
  <c r="J62" i="2"/>
  <c r="D62" i="2"/>
  <c r="C62" i="2"/>
  <c r="L61" i="2"/>
  <c r="J61" i="2"/>
  <c r="K61" i="2" s="1"/>
  <c r="D61" i="2"/>
  <c r="C61" i="2"/>
  <c r="L60" i="2"/>
  <c r="J60" i="2"/>
  <c r="K60" i="2" s="1"/>
  <c r="D60" i="2"/>
  <c r="C60" i="2"/>
  <c r="L59" i="2"/>
  <c r="J59" i="2"/>
  <c r="K59" i="2" s="1"/>
  <c r="D59" i="2"/>
  <c r="C59" i="2"/>
  <c r="L58" i="2"/>
  <c r="J58" i="2"/>
  <c r="K58" i="2" s="1"/>
  <c r="D58" i="2"/>
  <c r="C58" i="2"/>
  <c r="L57" i="2"/>
  <c r="K57" i="2"/>
  <c r="J57" i="2"/>
  <c r="D57" i="2"/>
  <c r="C57" i="2"/>
  <c r="L56" i="2"/>
  <c r="J56" i="2"/>
  <c r="K56" i="2" s="1"/>
  <c r="D56" i="2"/>
  <c r="C56" i="2"/>
  <c r="L55" i="2"/>
  <c r="J55" i="2"/>
  <c r="K55" i="2" s="1"/>
  <c r="D55" i="2"/>
  <c r="C55" i="2"/>
  <c r="L54" i="2"/>
  <c r="J54" i="2"/>
  <c r="K54" i="2" s="1"/>
  <c r="D54" i="2"/>
  <c r="C54" i="2"/>
  <c r="L53" i="2"/>
  <c r="J53" i="2"/>
  <c r="K53" i="2" s="1"/>
  <c r="D53" i="2"/>
  <c r="C53" i="2"/>
  <c r="L52" i="2"/>
  <c r="K52" i="2"/>
  <c r="J52" i="2"/>
  <c r="D52" i="2"/>
  <c r="C52" i="2"/>
  <c r="L51" i="2"/>
  <c r="J51" i="2"/>
  <c r="K51" i="2" s="1"/>
  <c r="D51" i="2"/>
  <c r="C51" i="2"/>
  <c r="L50" i="2"/>
  <c r="J50" i="2"/>
  <c r="K50" i="2" s="1"/>
  <c r="D50" i="2"/>
  <c r="C50" i="2"/>
  <c r="L49" i="2"/>
  <c r="J49" i="2"/>
  <c r="K49" i="2" s="1"/>
  <c r="D49" i="2"/>
  <c r="C49" i="2"/>
  <c r="L48" i="2"/>
  <c r="J48" i="2"/>
  <c r="K48" i="2" s="1"/>
  <c r="D48" i="2"/>
  <c r="C48" i="2"/>
  <c r="L47" i="2"/>
  <c r="J47" i="2"/>
  <c r="K47" i="2" s="1"/>
  <c r="D47" i="2"/>
  <c r="C47" i="2"/>
  <c r="L46" i="2"/>
  <c r="K46" i="2"/>
  <c r="J46" i="2"/>
  <c r="D46" i="2"/>
  <c r="C46" i="2"/>
  <c r="L45" i="2"/>
  <c r="J45" i="2"/>
  <c r="K45" i="2" s="1"/>
  <c r="D45" i="2"/>
  <c r="C45" i="2"/>
  <c r="L44" i="2"/>
  <c r="J44" i="2"/>
  <c r="K44" i="2" s="1"/>
  <c r="D44" i="2"/>
  <c r="C44" i="2"/>
  <c r="L43" i="2"/>
  <c r="J43" i="2"/>
  <c r="K43" i="2" s="1"/>
  <c r="D43" i="2"/>
  <c r="C43" i="2"/>
  <c r="L42" i="2"/>
  <c r="J42" i="2"/>
  <c r="K42" i="2" s="1"/>
  <c r="D42" i="2"/>
  <c r="C42" i="2"/>
  <c r="L41" i="2"/>
  <c r="K41" i="2"/>
  <c r="J41" i="2"/>
  <c r="D41" i="2"/>
  <c r="C41" i="2"/>
  <c r="L40" i="2"/>
  <c r="J40" i="2"/>
  <c r="K40" i="2" s="1"/>
  <c r="D40" i="2"/>
  <c r="C40" i="2"/>
  <c r="L39" i="2"/>
  <c r="J39" i="2"/>
  <c r="K39" i="2" s="1"/>
  <c r="D39" i="2"/>
  <c r="C39" i="2"/>
  <c r="L38" i="2"/>
  <c r="J38" i="2"/>
  <c r="K38" i="2" s="1"/>
  <c r="D38" i="2"/>
  <c r="C38" i="2"/>
  <c r="L37" i="2"/>
  <c r="J37" i="2"/>
  <c r="K37" i="2" s="1"/>
  <c r="D37" i="2"/>
  <c r="C37" i="2"/>
  <c r="L36" i="2"/>
  <c r="K36" i="2"/>
  <c r="J36" i="2"/>
  <c r="D36" i="2"/>
  <c r="C36" i="2"/>
  <c r="L35" i="2"/>
  <c r="J35" i="2"/>
  <c r="K35" i="2" s="1"/>
  <c r="D35" i="2"/>
  <c r="C35" i="2"/>
  <c r="L34" i="2"/>
  <c r="J34" i="2"/>
  <c r="K34" i="2" s="1"/>
  <c r="D34" i="2"/>
  <c r="C34" i="2"/>
  <c r="L33" i="2"/>
  <c r="J33" i="2"/>
  <c r="K33" i="2" s="1"/>
  <c r="D33" i="2"/>
  <c r="C33" i="2"/>
  <c r="L32" i="2"/>
  <c r="J32" i="2"/>
  <c r="K32" i="2" s="1"/>
  <c r="D32" i="2"/>
  <c r="C32" i="2"/>
  <c r="L31" i="2"/>
  <c r="J31" i="2"/>
  <c r="K31" i="2" s="1"/>
  <c r="D31" i="2"/>
  <c r="C31" i="2"/>
  <c r="L30" i="2"/>
  <c r="K30" i="2"/>
  <c r="J30" i="2"/>
  <c r="D30" i="2"/>
  <c r="C30" i="2"/>
  <c r="L29" i="2"/>
  <c r="J29" i="2"/>
  <c r="K29" i="2" s="1"/>
  <c r="D29" i="2"/>
  <c r="C29" i="2"/>
  <c r="L28" i="2"/>
  <c r="J28" i="2"/>
  <c r="K28" i="2" s="1"/>
  <c r="D28" i="2"/>
  <c r="C28" i="2"/>
  <c r="L27" i="2"/>
  <c r="J27" i="2"/>
  <c r="K27" i="2" s="1"/>
  <c r="D27" i="2"/>
  <c r="C27" i="2"/>
  <c r="L26" i="2"/>
  <c r="J26" i="2"/>
  <c r="K26" i="2" s="1"/>
  <c r="D26" i="2"/>
  <c r="C26" i="2"/>
  <c r="L25" i="2"/>
  <c r="K25" i="2"/>
  <c r="J25" i="2"/>
  <c r="D25" i="2"/>
  <c r="C25" i="2"/>
  <c r="L24" i="2"/>
  <c r="J24" i="2"/>
  <c r="K24" i="2" s="1"/>
  <c r="D24" i="2"/>
  <c r="C24" i="2"/>
  <c r="L23" i="2"/>
  <c r="J23" i="2"/>
  <c r="K23" i="2" s="1"/>
  <c r="D23" i="2"/>
  <c r="C23" i="2"/>
  <c r="L22" i="2"/>
  <c r="J22" i="2"/>
  <c r="K22" i="2" s="1"/>
  <c r="D22" i="2"/>
  <c r="C22" i="2"/>
  <c r="L21" i="2"/>
  <c r="J21" i="2"/>
  <c r="K21" i="2" s="1"/>
  <c r="D21" i="2"/>
  <c r="C21" i="2"/>
  <c r="L20" i="2"/>
  <c r="K20" i="2"/>
  <c r="J20" i="2"/>
  <c r="D20" i="2"/>
  <c r="C20" i="2"/>
  <c r="L19" i="2"/>
  <c r="J19" i="2"/>
  <c r="K19" i="2" s="1"/>
  <c r="D19" i="2"/>
  <c r="C19" i="2"/>
  <c r="L18" i="2"/>
  <c r="J18" i="2"/>
  <c r="K18" i="2" s="1"/>
  <c r="D18" i="2"/>
  <c r="C18" i="2"/>
  <c r="L17" i="2"/>
  <c r="J17" i="2"/>
  <c r="K17" i="2" s="1"/>
  <c r="D17" i="2"/>
  <c r="C17" i="2"/>
  <c r="L16" i="2"/>
  <c r="J16" i="2"/>
  <c r="K16" i="2" s="1"/>
  <c r="D16" i="2"/>
  <c r="C16" i="2"/>
  <c r="L15" i="2"/>
  <c r="J15" i="2"/>
  <c r="K15" i="2" s="1"/>
  <c r="D15" i="2"/>
  <c r="C15" i="2"/>
  <c r="L14" i="2"/>
  <c r="K14" i="2"/>
  <c r="J14" i="2"/>
  <c r="D14" i="2"/>
  <c r="C14" i="2"/>
  <c r="L13" i="2"/>
  <c r="J13" i="2"/>
  <c r="K13" i="2" s="1"/>
  <c r="D13" i="2"/>
  <c r="C13" i="2"/>
  <c r="L12" i="2"/>
  <c r="J12" i="2"/>
  <c r="K12" i="2" s="1"/>
  <c r="D12" i="2"/>
  <c r="C12" i="2"/>
  <c r="L11" i="2"/>
  <c r="J11" i="2"/>
  <c r="K11" i="2" s="1"/>
  <c r="D11" i="2"/>
  <c r="C11" i="2"/>
  <c r="L10" i="2"/>
  <c r="J10" i="2"/>
  <c r="K10" i="2" s="1"/>
  <c r="D10" i="2"/>
  <c r="C10" i="2"/>
  <c r="L9" i="2"/>
  <c r="K9" i="2"/>
  <c r="J9" i="2"/>
  <c r="D9" i="2"/>
  <c r="C9" i="2"/>
  <c r="L8" i="2"/>
  <c r="J8" i="2"/>
  <c r="K8" i="2" s="1"/>
  <c r="D8" i="2"/>
  <c r="C8" i="2"/>
  <c r="L7" i="2"/>
  <c r="J7" i="2"/>
  <c r="K7" i="2" s="1"/>
  <c r="D7" i="2"/>
  <c r="C7" i="2"/>
  <c r="L6" i="2"/>
  <c r="J6" i="2"/>
  <c r="K6" i="2" s="1"/>
  <c r="D6" i="2"/>
  <c r="C6" i="2"/>
  <c r="L5" i="2"/>
  <c r="J5" i="2"/>
  <c r="K5" i="2" s="1"/>
  <c r="D5" i="2"/>
  <c r="C5" i="2"/>
  <c r="L4" i="2"/>
  <c r="K4" i="2"/>
  <c r="J4" i="2"/>
  <c r="D4" i="2"/>
  <c r="C4" i="2"/>
  <c r="L3" i="2"/>
  <c r="J3" i="2"/>
  <c r="K3" i="2" s="1"/>
  <c r="D3" i="2"/>
  <c r="C3" i="2"/>
  <c r="L2" i="2"/>
  <c r="J2" i="2"/>
  <c r="K2" i="2" s="1"/>
  <c r="D2" i="2"/>
  <c r="C2" i="2"/>
  <c r="F147" i="4" l="1"/>
  <c r="C108" i="4"/>
  <c r="F108" i="4" s="1"/>
  <c r="C116" i="4"/>
  <c r="F116" i="4" s="1"/>
  <c r="C120" i="4"/>
  <c r="D132" i="4"/>
  <c r="C144" i="4"/>
  <c r="F151" i="4"/>
  <c r="D136" i="4"/>
  <c r="F155" i="4"/>
  <c r="B15" i="4"/>
  <c r="B16" i="4"/>
  <c r="F96" i="4"/>
  <c r="C100" i="4"/>
  <c r="F100" i="4" s="1"/>
  <c r="C104" i="4"/>
  <c r="F104" i="4" s="1"/>
  <c r="C147" i="4"/>
  <c r="G148" i="4"/>
  <c r="C151" i="4"/>
  <c r="G152" i="4"/>
  <c r="C155" i="4"/>
  <c r="C124" i="4"/>
  <c r="C128" i="4"/>
  <c r="F128" i="4" s="1"/>
  <c r="F146" i="4"/>
  <c r="C148" i="4"/>
  <c r="F150" i="4"/>
  <c r="C152" i="4"/>
  <c r="F154" i="4"/>
  <c r="G147" i="4"/>
  <c r="D148" i="4"/>
  <c r="G151" i="4"/>
  <c r="D152" i="4"/>
  <c r="G155" i="4"/>
  <c r="F148" i="4"/>
  <c r="F152" i="4"/>
  <c r="B14" i="4"/>
  <c r="B72" i="4" s="1"/>
  <c r="C72" i="4" s="1"/>
  <c r="D33" i="4"/>
  <c r="C33" i="4"/>
  <c r="B33" i="4"/>
  <c r="F103" i="4"/>
  <c r="D114" i="4"/>
  <c r="C114" i="4"/>
  <c r="F114" i="4" s="1"/>
  <c r="C129" i="4"/>
  <c r="D129" i="4"/>
  <c r="D34" i="4"/>
  <c r="C34" i="4"/>
  <c r="B34" i="4"/>
  <c r="B69" i="4"/>
  <c r="C69" i="4" s="1"/>
  <c r="B86" i="4"/>
  <c r="C86" i="4" s="1"/>
  <c r="B89" i="4"/>
  <c r="C89" i="4" s="1"/>
  <c r="C105" i="4"/>
  <c r="D105" i="4"/>
  <c r="F111" i="4"/>
  <c r="D122" i="4"/>
  <c r="C122" i="4"/>
  <c r="C137" i="4"/>
  <c r="F137" i="4" s="1"/>
  <c r="D137" i="4"/>
  <c r="B73" i="4"/>
  <c r="C73" i="4" s="1"/>
  <c r="D35" i="4"/>
  <c r="C35" i="4"/>
  <c r="B35" i="4"/>
  <c r="B87" i="4"/>
  <c r="C87" i="4" s="1"/>
  <c r="C113" i="4"/>
  <c r="F113" i="4" s="1"/>
  <c r="D113" i="4"/>
  <c r="F119" i="4"/>
  <c r="D130" i="4"/>
  <c r="C130" i="4"/>
  <c r="D149" i="4"/>
  <c r="G149" i="4"/>
  <c r="C149" i="4"/>
  <c r="F149" i="4"/>
  <c r="E149" i="4"/>
  <c r="B88" i="4"/>
  <c r="C88" i="4" s="1"/>
  <c r="B74" i="4"/>
  <c r="C74" i="4" s="1"/>
  <c r="D36" i="4"/>
  <c r="C36" i="4"/>
  <c r="B36" i="4"/>
  <c r="B70" i="4" s="1"/>
  <c r="C70" i="4" s="1"/>
  <c r="B84" i="4"/>
  <c r="C84" i="4" s="1"/>
  <c r="B91" i="4"/>
  <c r="C91" i="4" s="1"/>
  <c r="D106" i="4"/>
  <c r="C106" i="4"/>
  <c r="C121" i="4"/>
  <c r="F121" i="4" s="1"/>
  <c r="D121" i="4"/>
  <c r="F127" i="4"/>
  <c r="D138" i="4"/>
  <c r="C138" i="4"/>
  <c r="F138" i="4" s="1"/>
  <c r="B56" i="4"/>
  <c r="B79" i="4"/>
  <c r="C79" i="4" s="1"/>
  <c r="F97" i="4"/>
  <c r="E97" i="4"/>
  <c r="E100" i="4"/>
  <c r="G100" i="4" s="1"/>
  <c r="E108" i="4"/>
  <c r="G108" i="4" s="1"/>
  <c r="E116" i="4"/>
  <c r="G116" i="4" s="1"/>
  <c r="F120" i="4"/>
  <c r="E124" i="4"/>
  <c r="E132" i="4"/>
  <c r="G132" i="4" s="1"/>
  <c r="E140" i="4"/>
  <c r="G140" i="4" s="1"/>
  <c r="D153" i="4"/>
  <c r="G153" i="4"/>
  <c r="C153" i="4"/>
  <c r="F153" i="4"/>
  <c r="B85" i="4"/>
  <c r="C101" i="4"/>
  <c r="F101" i="4" s="1"/>
  <c r="D102" i="4"/>
  <c r="C102" i="4"/>
  <c r="C109" i="4"/>
  <c r="E109" i="4" s="1"/>
  <c r="D110" i="4"/>
  <c r="C110" i="4"/>
  <c r="C117" i="4"/>
  <c r="E117" i="4" s="1"/>
  <c r="D118" i="4"/>
  <c r="C118" i="4"/>
  <c r="F118" i="4" s="1"/>
  <c r="C125" i="4"/>
  <c r="E125" i="4" s="1"/>
  <c r="D126" i="4"/>
  <c r="C126" i="4"/>
  <c r="C133" i="4"/>
  <c r="F133" i="4" s="1"/>
  <c r="D134" i="4"/>
  <c r="C134" i="4"/>
  <c r="C141" i="4"/>
  <c r="E141" i="4" s="1"/>
  <c r="G141" i="4" s="1"/>
  <c r="D142" i="4"/>
  <c r="C142" i="4"/>
  <c r="B18" i="4"/>
  <c r="B53" i="4"/>
  <c r="B75" i="4" s="1"/>
  <c r="C75" i="4" s="1"/>
  <c r="C85" i="4"/>
  <c r="B90" i="4"/>
  <c r="C90" i="4" s="1"/>
  <c r="E96" i="4"/>
  <c r="G96" i="4" s="1"/>
  <c r="C98" i="4"/>
  <c r="E98" i="4" s="1"/>
  <c r="E104" i="4"/>
  <c r="G104" i="4" s="1"/>
  <c r="E112" i="4"/>
  <c r="G112" i="4" s="1"/>
  <c r="E120" i="4"/>
  <c r="F124" i="4"/>
  <c r="E128" i="4"/>
  <c r="G128" i="4" s="1"/>
  <c r="E136" i="4"/>
  <c r="G136" i="4" s="1"/>
  <c r="E144" i="4"/>
  <c r="D145" i="4"/>
  <c r="C145" i="4"/>
  <c r="E153" i="4"/>
  <c r="D99" i="4"/>
  <c r="E99" i="4" s="1"/>
  <c r="D103" i="4"/>
  <c r="E103" i="4" s="1"/>
  <c r="G103" i="4" s="1"/>
  <c r="D107" i="4"/>
  <c r="E107" i="4" s="1"/>
  <c r="G107" i="4" s="1"/>
  <c r="D111" i="4"/>
  <c r="E111" i="4" s="1"/>
  <c r="G111" i="4" s="1"/>
  <c r="D115" i="4"/>
  <c r="F115" i="4" s="1"/>
  <c r="D119" i="4"/>
  <c r="E119" i="4" s="1"/>
  <c r="G119" i="4" s="1"/>
  <c r="D123" i="4"/>
  <c r="F123" i="4" s="1"/>
  <c r="D127" i="4"/>
  <c r="E127" i="4" s="1"/>
  <c r="G127" i="4" s="1"/>
  <c r="D131" i="4"/>
  <c r="E131" i="4" s="1"/>
  <c r="G131" i="4" s="1"/>
  <c r="D135" i="4"/>
  <c r="F135" i="4" s="1"/>
  <c r="D139" i="4"/>
  <c r="E139" i="4" s="1"/>
  <c r="G139" i="4" s="1"/>
  <c r="D143" i="4"/>
  <c r="F143" i="4" s="1"/>
  <c r="C146" i="4"/>
  <c r="G146" i="4"/>
  <c r="D147" i="4"/>
  <c r="C150" i="4"/>
  <c r="G150" i="4"/>
  <c r="D151" i="4"/>
  <c r="C154" i="4"/>
  <c r="G154" i="4"/>
  <c r="D155" i="4"/>
  <c r="F144" i="4"/>
  <c r="D146" i="4"/>
  <c r="D150" i="4"/>
  <c r="D154" i="4"/>
  <c r="G120" i="4" l="1"/>
  <c r="E134" i="4"/>
  <c r="E102" i="4"/>
  <c r="E145" i="4"/>
  <c r="G145" i="4" s="1"/>
  <c r="E121" i="4"/>
  <c r="G121" i="4" s="1"/>
  <c r="E122" i="4"/>
  <c r="F105" i="4"/>
  <c r="E129" i="4"/>
  <c r="G129" i="4" s="1"/>
  <c r="E130" i="4"/>
  <c r="E106" i="4"/>
  <c r="E142" i="4"/>
  <c r="E110" i="4"/>
  <c r="G106" i="4"/>
  <c r="E143" i="4"/>
  <c r="F126" i="4"/>
  <c r="F106" i="4"/>
  <c r="G122" i="4"/>
  <c r="E105" i="4"/>
  <c r="G105" i="4" s="1"/>
  <c r="F125" i="4"/>
  <c r="G125" i="4" s="1"/>
  <c r="F129" i="4"/>
  <c r="F145" i="4"/>
  <c r="G144" i="4"/>
  <c r="F141" i="4"/>
  <c r="F109" i="4"/>
  <c r="G109" i="4" s="1"/>
  <c r="G124" i="4"/>
  <c r="E113" i="4"/>
  <c r="G113" i="4" s="1"/>
  <c r="G143" i="4"/>
  <c r="G98" i="4"/>
  <c r="F117" i="4"/>
  <c r="G102" i="4"/>
  <c r="G97" i="4"/>
  <c r="A29" i="4"/>
  <c r="A25" i="4"/>
  <c r="A28" i="4"/>
  <c r="A24" i="4"/>
  <c r="A27" i="4"/>
  <c r="A23" i="4"/>
  <c r="A26" i="4"/>
  <c r="A22" i="4"/>
  <c r="F130" i="4"/>
  <c r="G130" i="4" s="1"/>
  <c r="E115" i="4"/>
  <c r="G115" i="4" s="1"/>
  <c r="F122" i="4"/>
  <c r="E118" i="4"/>
  <c r="G118" i="4" s="1"/>
  <c r="E138" i="4"/>
  <c r="G138" i="4" s="1"/>
  <c r="F102" i="4"/>
  <c r="E137" i="4"/>
  <c r="G137" i="4" s="1"/>
  <c r="E133" i="4"/>
  <c r="G133" i="4" s="1"/>
  <c r="E114" i="4"/>
  <c r="G114" i="4" s="1"/>
  <c r="E101" i="4"/>
  <c r="G101" i="4" s="1"/>
  <c r="F98" i="4"/>
  <c r="E135" i="4"/>
  <c r="G135" i="4" s="1"/>
  <c r="E126" i="4"/>
  <c r="G126" i="4" s="1"/>
  <c r="G117" i="4"/>
  <c r="F134" i="4"/>
  <c r="G134" i="4" s="1"/>
  <c r="E123" i="4"/>
  <c r="G123" i="4" s="1"/>
  <c r="F99" i="4"/>
  <c r="G99" i="4" s="1"/>
  <c r="F142" i="4"/>
  <c r="F110" i="4"/>
  <c r="G110" i="4" s="1"/>
  <c r="G142" i="4" l="1"/>
  <c r="B47" i="4" s="1"/>
  <c r="B48" i="4"/>
  <c r="B45" i="4"/>
  <c r="B43" i="4"/>
  <c r="B44" i="4"/>
  <c r="B49" i="4"/>
  <c r="B41" i="4"/>
  <c r="B42" i="4"/>
  <c r="C23" i="4"/>
  <c r="B23" i="4"/>
  <c r="D23" i="4"/>
  <c r="C27" i="4"/>
  <c r="B27" i="4"/>
  <c r="D27" i="4"/>
  <c r="D29" i="4"/>
  <c r="C29" i="4"/>
  <c r="B29" i="4"/>
  <c r="B24" i="4"/>
  <c r="D24" i="4"/>
  <c r="C24" i="4"/>
  <c r="D22" i="4"/>
  <c r="C22" i="4"/>
  <c r="B22" i="4"/>
  <c r="D26" i="4"/>
  <c r="C26" i="4"/>
  <c r="E26" i="4" s="1"/>
  <c r="B26" i="4"/>
  <c r="B28" i="4"/>
  <c r="D28" i="4"/>
  <c r="C28" i="4"/>
  <c r="E28" i="4" s="1"/>
  <c r="D25" i="4"/>
  <c r="C25" i="4"/>
  <c r="B25" i="4"/>
  <c r="E22" i="4" l="1"/>
  <c r="B46" i="4"/>
  <c r="D46" i="4" s="1"/>
  <c r="B40" i="4"/>
  <c r="A40" i="4" s="1"/>
  <c r="E25" i="4"/>
  <c r="E29" i="4"/>
  <c r="E23" i="4"/>
  <c r="E24" i="4"/>
  <c r="E27" i="4"/>
  <c r="D49" i="4"/>
  <c r="A49" i="4"/>
  <c r="E49" i="4"/>
  <c r="C49" i="4"/>
  <c r="C46" i="4"/>
  <c r="D44" i="4"/>
  <c r="C44" i="4"/>
  <c r="E44" i="4"/>
  <c r="A44" i="4"/>
  <c r="C40" i="4"/>
  <c r="E40" i="4"/>
  <c r="D42" i="4"/>
  <c r="C42" i="4"/>
  <c r="A42" i="4"/>
  <c r="E42" i="4"/>
  <c r="E43" i="4"/>
  <c r="A43" i="4"/>
  <c r="D43" i="4"/>
  <c r="C43" i="4"/>
  <c r="D48" i="4"/>
  <c r="C48" i="4"/>
  <c r="E48" i="4"/>
  <c r="A48" i="4"/>
  <c r="E41" i="4"/>
  <c r="A41" i="4"/>
  <c r="D41" i="4"/>
  <c r="C41" i="4"/>
  <c r="E45" i="4"/>
  <c r="A45" i="4"/>
  <c r="D45" i="4"/>
  <c r="C45" i="4"/>
  <c r="E47" i="4"/>
  <c r="A47" i="4"/>
  <c r="D47" i="4"/>
  <c r="C47" i="4"/>
  <c r="A46" i="4" l="1"/>
  <c r="E46" i="4"/>
  <c r="F46" i="4" s="1"/>
  <c r="F41" i="4"/>
  <c r="F42" i="4"/>
  <c r="B71" i="4"/>
  <c r="C71" i="4" s="1"/>
  <c r="B60" i="4" s="1"/>
  <c r="F43" i="4"/>
  <c r="D40" i="4"/>
  <c r="F40" i="4" s="1"/>
  <c r="F47" i="4"/>
  <c r="F45" i="4"/>
  <c r="F48" i="4"/>
  <c r="F44" i="4"/>
  <c r="F49" i="4"/>
  <c r="C60" i="4"/>
</calcChain>
</file>

<file path=xl/sharedStrings.xml><?xml version="1.0" encoding="utf-8"?>
<sst xmlns="http://schemas.openxmlformats.org/spreadsheetml/2006/main" count="1527" uniqueCount="434">
  <si>
    <t>Employee ID</t>
  </si>
  <si>
    <t>Employee Name</t>
  </si>
  <si>
    <t>Department</t>
  </si>
  <si>
    <t>Job Title</t>
  </si>
  <si>
    <t>Joining Date</t>
  </si>
  <si>
    <t>Reporting Manager</t>
  </si>
  <si>
    <t>Work Location</t>
  </si>
  <si>
    <t>Employment Status</t>
  </si>
  <si>
    <t>WBS-1007</t>
  </si>
  <si>
    <t>Aishwarya Lokhande</t>
  </si>
  <si>
    <t>Sales</t>
  </si>
  <si>
    <t>Sales Manager</t>
  </si>
  <si>
    <t>Isha Mehta</t>
  </si>
  <si>
    <t>Mumbai</t>
  </si>
  <si>
    <t>Active</t>
  </si>
  <si>
    <t>WBS-1048</t>
  </si>
  <si>
    <t>Ajinkya Jadhav</t>
  </si>
  <si>
    <t>Marketing</t>
  </si>
  <si>
    <t>Graphic Designer</t>
  </si>
  <si>
    <t>Deepak More</t>
  </si>
  <si>
    <t>Onboarding</t>
  </si>
  <si>
    <t>WBS-1008</t>
  </si>
  <si>
    <t>Akash Chavan</t>
  </si>
  <si>
    <t>Information Technology</t>
  </si>
  <si>
    <t>IT Manager</t>
  </si>
  <si>
    <t>Pune</t>
  </si>
  <si>
    <t>WBS-1040</t>
  </si>
  <si>
    <t>Amey Joshi</t>
  </si>
  <si>
    <t>Finance</t>
  </si>
  <si>
    <t>Senior Accountant</t>
  </si>
  <si>
    <t>Kedar Menon</t>
  </si>
  <si>
    <t>WBS-1042</t>
  </si>
  <si>
    <t>Apeksha Bansal</t>
  </si>
  <si>
    <t>Operations</t>
  </si>
  <si>
    <t>Operations Executive</t>
  </si>
  <si>
    <t>Saurabh Patil</t>
  </si>
  <si>
    <t>Nashik</t>
  </si>
  <si>
    <t>WBS-1016</t>
  </si>
  <si>
    <t>Archana Mane</t>
  </si>
  <si>
    <t>Human Resources</t>
  </si>
  <si>
    <t>Recruitment Coordinator</t>
  </si>
  <si>
    <t>Madhuri Jadhav</t>
  </si>
  <si>
    <t>WBS-1028</t>
  </si>
  <si>
    <t>Bhavna Chaudhari</t>
  </si>
  <si>
    <t>Back Office Executive</t>
  </si>
  <si>
    <t>Neha Wagh</t>
  </si>
  <si>
    <t>WBS-1010</t>
  </si>
  <si>
    <t>Marketing Manager</t>
  </si>
  <si>
    <t>WBS-1009</t>
  </si>
  <si>
    <t>Dhruv Mehta</t>
  </si>
  <si>
    <t>Accounts Executive</t>
  </si>
  <si>
    <t>WBS-1050</t>
  </si>
  <si>
    <t>Dipti Mane</t>
  </si>
  <si>
    <t>Customer Support</t>
  </si>
  <si>
    <t>Senior Support Executive</t>
  </si>
  <si>
    <t>Smita Pillai</t>
  </si>
  <si>
    <t>WBS-1015</t>
  </si>
  <si>
    <t>Divya Iyer</t>
  </si>
  <si>
    <t>QA Analyst</t>
  </si>
  <si>
    <t>Notice Period</t>
  </si>
  <si>
    <t>WBS-1029</t>
  </si>
  <si>
    <t>Gaurav Shetty</t>
  </si>
  <si>
    <t>Digital Marketing Executive</t>
  </si>
  <si>
    <t>WBS-1001</t>
  </si>
  <si>
    <t>Administration</t>
  </si>
  <si>
    <t>General Manager</t>
  </si>
  <si>
    <t>Managing Director</t>
  </si>
  <si>
    <t>WBS-1034</t>
  </si>
  <si>
    <t>Karan Pawar</t>
  </si>
  <si>
    <t>Business Development Executive</t>
  </si>
  <si>
    <t>Tejas Shinde</t>
  </si>
  <si>
    <t>WBS-1046</t>
  </si>
  <si>
    <t>Kavya Pawar</t>
  </si>
  <si>
    <t>IT Support Executive</t>
  </si>
  <si>
    <t>WBS-1004</t>
  </si>
  <si>
    <t>Finance Manager</t>
  </si>
  <si>
    <t>WBS-1011</t>
  </si>
  <si>
    <t>Ketan Gupta</t>
  </si>
  <si>
    <t>Customer Support Executive</t>
  </si>
  <si>
    <t>WBS-1027</t>
  </si>
  <si>
    <t>Komal Ghosh</t>
  </si>
  <si>
    <t>Front Desk Executive</t>
  </si>
  <si>
    <t>Riya Kulkarni</t>
  </si>
  <si>
    <t>WBS-1005</t>
  </si>
  <si>
    <t>HR Manager</t>
  </si>
  <si>
    <t>WBS-1039</t>
  </si>
  <si>
    <t>Manoj Nair</t>
  </si>
  <si>
    <t>WBS-1019</t>
  </si>
  <si>
    <t>Mayur Shetty</t>
  </si>
  <si>
    <t>WBS-1023</t>
  </si>
  <si>
    <t>Mrunal Bhosale</t>
  </si>
  <si>
    <t>WBS-1017</t>
  </si>
  <si>
    <t>Nandini Naik</t>
  </si>
  <si>
    <t>Team Lead - Customer Support</t>
  </si>
  <si>
    <t>WBS-1003</t>
  </si>
  <si>
    <t>Operations Manager</t>
  </si>
  <si>
    <t>WBS-1049</t>
  </si>
  <si>
    <t>Nikhil More</t>
  </si>
  <si>
    <t>Marketing Executive</t>
  </si>
  <si>
    <t>WBS-1022</t>
  </si>
  <si>
    <t>Omkar Kulkarni</t>
  </si>
  <si>
    <t>Logistics Coordinator</t>
  </si>
  <si>
    <t>WBS-1018</t>
  </si>
  <si>
    <t>Pallavi Deshmukh</t>
  </si>
  <si>
    <t>MIS Executive</t>
  </si>
  <si>
    <t>WBS-1037</t>
  </si>
  <si>
    <t>Pooja Thakur</t>
  </si>
  <si>
    <t>WBS-1041</t>
  </si>
  <si>
    <t>Pranav Phadke</t>
  </si>
  <si>
    <t>HR Assistant</t>
  </si>
  <si>
    <t>WBS-1045</t>
  </si>
  <si>
    <t>Pratik Iyer</t>
  </si>
  <si>
    <t>WBS-1036</t>
  </si>
  <si>
    <t>Priya Kadam</t>
  </si>
  <si>
    <t>WBS-1032</t>
  </si>
  <si>
    <t>Ramesh Joshi</t>
  </si>
  <si>
    <t>Sales Coordinator</t>
  </si>
  <si>
    <t>WBS-1002</t>
  </si>
  <si>
    <t>Administration Manager</t>
  </si>
  <si>
    <t>WBS-1012</t>
  </si>
  <si>
    <t>Rohan Kamat</t>
  </si>
  <si>
    <t>WBS-1044</t>
  </si>
  <si>
    <t>Rutuja Sawant</t>
  </si>
  <si>
    <t>WBS-1021</t>
  </si>
  <si>
    <t>Sahil Wagh</t>
  </si>
  <si>
    <t>Sales Executive</t>
  </si>
  <si>
    <t>WBS-1030</t>
  </si>
  <si>
    <t>Sakshi Lokhande</t>
  </si>
  <si>
    <t>WBS-1013</t>
  </si>
  <si>
    <t>Team Lead - Operations</t>
  </si>
  <si>
    <t>WBS-1043</t>
  </si>
  <si>
    <t>Shruti Bansal</t>
  </si>
  <si>
    <t>WBS-1033</t>
  </si>
  <si>
    <t>Siddharth Agarwal</t>
  </si>
  <si>
    <t>WBS-1006</t>
  </si>
  <si>
    <t>Customer Support Manager</t>
  </si>
  <si>
    <t>WBS-1031</t>
  </si>
  <si>
    <t>Sumit Kadam</t>
  </si>
  <si>
    <t>Payroll Executive</t>
  </si>
  <si>
    <t>WBS-1026</t>
  </si>
  <si>
    <t>Supriya Rao</t>
  </si>
  <si>
    <t>WBS-1024</t>
  </si>
  <si>
    <t>Suresh Singh</t>
  </si>
  <si>
    <t>WBS-1014</t>
  </si>
  <si>
    <t>Team Lead - Sales</t>
  </si>
  <si>
    <t>WBS-1020</t>
  </si>
  <si>
    <t>Trupti Ghosh</t>
  </si>
  <si>
    <t>WBS-1035</t>
  </si>
  <si>
    <t>Tushar Banerjee</t>
  </si>
  <si>
    <t>WBS-1038</t>
  </si>
  <si>
    <t>Vaishnavi Pillai</t>
  </si>
  <si>
    <t>WBS-1047</t>
  </si>
  <si>
    <t>Varun Salunkhe</t>
  </si>
  <si>
    <t>WBS-1025</t>
  </si>
  <si>
    <t>Yash Parikh</t>
  </si>
  <si>
    <t>Quality Analyst</t>
  </si>
  <si>
    <t>Task ID</t>
  </si>
  <si>
    <t>Onboarding Task</t>
  </si>
  <si>
    <t>Task Owner</t>
  </si>
  <si>
    <t>Due Date</t>
  </si>
  <si>
    <t>Completion Date</t>
  </si>
  <si>
    <t>Status</t>
  </si>
  <si>
    <t>Overdue</t>
  </si>
  <si>
    <t>Days Overdue</t>
  </si>
  <si>
    <t>Due Soon</t>
  </si>
  <si>
    <t>Remarks</t>
  </si>
  <si>
    <t>OB-001</t>
  </si>
  <si>
    <t>Offer letter acknowledgement</t>
  </si>
  <si>
    <t>HR</t>
  </si>
  <si>
    <t>Completed</t>
  </si>
  <si>
    <t>Delayed - employee on leave</t>
  </si>
  <si>
    <t>OB-002</t>
  </si>
  <si>
    <t>Identity document submission</t>
  </si>
  <si>
    <t>OB-003</t>
  </si>
  <si>
    <t>IT account creation</t>
  </si>
  <si>
    <t>IT</t>
  </si>
  <si>
    <t>OB-004</t>
  </si>
  <si>
    <t>Company policy acknowledgement</t>
  </si>
  <si>
    <t>OB-005</t>
  </si>
  <si>
    <t>HR orientation</t>
  </si>
  <si>
    <t>OB-006</t>
  </si>
  <si>
    <t>Bank details submission</t>
  </si>
  <si>
    <t>Payroll</t>
  </si>
  <si>
    <t>OB-007</t>
  </si>
  <si>
    <t>Department induction</t>
  </si>
  <si>
    <t>OB-008</t>
  </si>
  <si>
    <t>Education certificate verification</t>
  </si>
  <si>
    <t>In Progress</t>
  </si>
  <si>
    <t>Sent to verification agency on 09-Oct; report awaited</t>
  </si>
  <si>
    <t>OB-009</t>
  </si>
  <si>
    <t>OB-010</t>
  </si>
  <si>
    <t>Resubmission requested - name spelling differs from offer letter</t>
  </si>
  <si>
    <t>OB-011</t>
  </si>
  <si>
    <t>OB-012</t>
  </si>
  <si>
    <t>OB-013</t>
  </si>
  <si>
    <t>OB-014</t>
  </si>
  <si>
    <t>Completed after reminder</t>
  </si>
  <si>
    <t>OB-015</t>
  </si>
  <si>
    <t>OB-016</t>
  </si>
  <si>
    <t>OB-017</t>
  </si>
  <si>
    <t>OB-018</t>
  </si>
  <si>
    <t>OB-019</t>
  </si>
  <si>
    <t>OB-020</t>
  </si>
  <si>
    <t>OB-021</t>
  </si>
  <si>
    <t>OB-022</t>
  </si>
  <si>
    <t>Pending</t>
  </si>
  <si>
    <t>Cancelled cheque not yet received - reminder sent 13-Oct</t>
  </si>
  <si>
    <t>OB-023</t>
  </si>
  <si>
    <t>OB-024</t>
  </si>
  <si>
    <t>OB-025</t>
  </si>
  <si>
    <t>OB-026</t>
  </si>
  <si>
    <t>OB-027</t>
  </si>
  <si>
    <t>OB-028</t>
  </si>
  <si>
    <t>OB-029</t>
  </si>
  <si>
    <t>OB-030</t>
  </si>
  <si>
    <t>Cancelled cheque not yet received - reminder sent 15-Oct</t>
  </si>
  <si>
    <t>OB-031</t>
  </si>
  <si>
    <t>OB-032</t>
  </si>
  <si>
    <t>Degree certificate copy awaited from employee</t>
  </si>
  <si>
    <t>OB-033</t>
  </si>
  <si>
    <t>OB-034</t>
  </si>
  <si>
    <t>OB-035</t>
  </si>
  <si>
    <t>OB-036</t>
  </si>
  <si>
    <t>OB-037</t>
  </si>
  <si>
    <t>OB-038</t>
  </si>
  <si>
    <t>OB-039</t>
  </si>
  <si>
    <t>OB-040</t>
  </si>
  <si>
    <t>Sent to verification agency on 14-Oct; report awaited</t>
  </si>
  <si>
    <t>OB-041</t>
  </si>
  <si>
    <t>OB-042</t>
  </si>
  <si>
    <t>OB-043</t>
  </si>
  <si>
    <t>OB-044</t>
  </si>
  <si>
    <t>Employee reminded 09-Oct</t>
  </si>
  <si>
    <t>OB-045</t>
  </si>
  <si>
    <t>OB-046</t>
  </si>
  <si>
    <t>OB-047</t>
  </si>
  <si>
    <t>OB-048</t>
  </si>
  <si>
    <t>OB-049</t>
  </si>
  <si>
    <t>OB-050</t>
  </si>
  <si>
    <t>OB-051</t>
  </si>
  <si>
    <t>OB-052</t>
  </si>
  <si>
    <t>OB-053</t>
  </si>
  <si>
    <t>OB-054</t>
  </si>
  <si>
    <t>OB-055</t>
  </si>
  <si>
    <t>Manager on leave - induction to be rescheduled</t>
  </si>
  <si>
    <t>OB-056</t>
  </si>
  <si>
    <t>OB-057</t>
  </si>
  <si>
    <t>OB-058</t>
  </si>
  <si>
    <t>OB-059</t>
  </si>
  <si>
    <t>OB-060</t>
  </si>
  <si>
    <t>OB-061</t>
  </si>
  <si>
    <t>OB-062</t>
  </si>
  <si>
    <t>OB-063</t>
  </si>
  <si>
    <t>OB-064</t>
  </si>
  <si>
    <t>OB-065</t>
  </si>
  <si>
    <t>OB-066</t>
  </si>
  <si>
    <t>OB-067</t>
  </si>
  <si>
    <t>OB-068</t>
  </si>
  <si>
    <t>OB-069</t>
  </si>
  <si>
    <t>OB-070</t>
  </si>
  <si>
    <t>OB-071</t>
  </si>
  <si>
    <t>OB-072</t>
  </si>
  <si>
    <t>OB-073</t>
  </si>
  <si>
    <t>OB-074</t>
  </si>
  <si>
    <t>OB-075</t>
  </si>
  <si>
    <t>OB-076</t>
  </si>
  <si>
    <t>OB-077</t>
  </si>
  <si>
    <t>OB-078</t>
  </si>
  <si>
    <t>Cancelled cheque not yet received - reminder sent 14-Oct</t>
  </si>
  <si>
    <t>OB-079</t>
  </si>
  <si>
    <t>OB-080</t>
  </si>
  <si>
    <t>OB-081</t>
  </si>
  <si>
    <t>OB-082</t>
  </si>
  <si>
    <t>OB-083</t>
  </si>
  <si>
    <t>Ticket raised with IT helpdesk; manager approval for access awaited</t>
  </si>
  <si>
    <t>OB-084</t>
  </si>
  <si>
    <t>OB-085</t>
  </si>
  <si>
    <t>OB-086</t>
  </si>
  <si>
    <t>OB-087</t>
  </si>
  <si>
    <t>OB-088</t>
  </si>
  <si>
    <t>OB-089</t>
  </si>
  <si>
    <t>OB-090</t>
  </si>
  <si>
    <t>OB-091</t>
  </si>
  <si>
    <t>OB-092</t>
  </si>
  <si>
    <t>OB-093</t>
  </si>
  <si>
    <t>OB-094</t>
  </si>
  <si>
    <t>OB-095</t>
  </si>
  <si>
    <t>Induction plan shared with manager 13-Oct</t>
  </si>
  <si>
    <t>OB-096</t>
  </si>
  <si>
    <t>OB-097</t>
  </si>
  <si>
    <t>OB-098</t>
  </si>
  <si>
    <t>OB-099</t>
  </si>
  <si>
    <t>OB-100</t>
  </si>
  <si>
    <t>OB-101</t>
  </si>
  <si>
    <t>OB-102</t>
  </si>
  <si>
    <t>OB-103</t>
  </si>
  <si>
    <t>OB-104</t>
  </si>
  <si>
    <t>OB-105</t>
  </si>
  <si>
    <t>Signed copy not yet received - reminder sent 14-Oct</t>
  </si>
  <si>
    <t>OB-106</t>
  </si>
  <si>
    <t>OB-107</t>
  </si>
  <si>
    <t>OB-108</t>
  </si>
  <si>
    <t>Pending e-sign on HR portal</t>
  </si>
  <si>
    <t>OB-109</t>
  </si>
  <si>
    <t>OB-110</t>
  </si>
  <si>
    <t>Cancelled cheque not yet received - reminder sent 16-Oct</t>
  </si>
  <si>
    <t>OB-111</t>
  </si>
  <si>
    <t>Induction plan shared with manager 16-Oct</t>
  </si>
  <si>
    <t>OB-112</t>
  </si>
  <si>
    <t>OB-113</t>
  </si>
  <si>
    <t>OB-114</t>
  </si>
  <si>
    <t>OB-115</t>
  </si>
  <si>
    <t>OB-116</t>
  </si>
  <si>
    <t>OB-117</t>
  </si>
  <si>
    <t>OB-118</t>
  </si>
  <si>
    <t>OB-119</t>
  </si>
  <si>
    <t>OB-120</t>
  </si>
  <si>
    <t>OB-121</t>
  </si>
  <si>
    <t>Signed copy not yet received - reminder sent 15-Oct</t>
  </si>
  <si>
    <t>OB-122</t>
  </si>
  <si>
    <t>OB-123</t>
  </si>
  <si>
    <t>Ticket raised with IT helpdesk 15-Oct</t>
  </si>
  <si>
    <t>OB-124</t>
  </si>
  <si>
    <t>OB-125</t>
  </si>
  <si>
    <t>OB-126</t>
  </si>
  <si>
    <t>OB-127</t>
  </si>
  <si>
    <t>OB-128</t>
  </si>
  <si>
    <t>OB-129</t>
  </si>
  <si>
    <t>OB-130</t>
  </si>
  <si>
    <t>OB-131</t>
  </si>
  <si>
    <t>OB-132</t>
  </si>
  <si>
    <t>OB-133</t>
  </si>
  <si>
    <t>OB-134</t>
  </si>
  <si>
    <t>OB-135</t>
  </si>
  <si>
    <t>OB-136</t>
  </si>
  <si>
    <t>Document Type</t>
  </si>
  <si>
    <t>Submission Status</t>
  </si>
  <si>
    <t>Verification Status</t>
  </si>
  <si>
    <t>Document Status</t>
  </si>
  <si>
    <t>Identity Proof</t>
  </si>
  <si>
    <t>Submitted</t>
  </si>
  <si>
    <t>Verified</t>
  </si>
  <si>
    <t>Address Proof</t>
  </si>
  <si>
    <t>Education Certificates</t>
  </si>
  <si>
    <t>Not Verified</t>
  </si>
  <si>
    <t>Sent to verification agency</t>
  </si>
  <si>
    <t>Bank Account Proof</t>
  </si>
  <si>
    <t>Needs Resubmission</t>
  </si>
  <si>
    <t>Name spelling differs from offer letter - resubmission requested</t>
  </si>
  <si>
    <t>Not Submitted</t>
  </si>
  <si>
    <t>Cheque / passbook copy awaited</t>
  </si>
  <si>
    <t>Reminder sent 14-Oct</t>
  </si>
  <si>
    <t>Certificate copy awaited</t>
  </si>
  <si>
    <t>Cheque image unclear - re-upload requested</t>
  </si>
  <si>
    <t>Reminder sent 16-Oct</t>
  </si>
  <si>
    <t>HR Operations Dashboard - Employee Onboarding</t>
  </si>
  <si>
    <t>Westline Business Services Pvt. Ltd. (fictional company, sample data)</t>
  </si>
  <si>
    <t>As of date</t>
  </si>
  <si>
    <t>Overdue and due soon are measured against this date. Type =TODAY() for a live report.</t>
  </si>
  <si>
    <t>Due-soon window (days)</t>
  </si>
  <si>
    <t>Open tasks due from the as-of date up to this many days later are 'due soon'.</t>
  </si>
  <si>
    <t>Summary</t>
  </si>
  <si>
    <t>Metric</t>
  </si>
  <si>
    <t>Value</t>
  </si>
  <si>
    <t>How it is calculated</t>
  </si>
  <si>
    <t>Employees in the onboarding tracker</t>
  </si>
  <si>
    <t>Employees from the master who have at least one task in the tracker.</t>
  </si>
  <si>
    <t>Total onboarding tasks</t>
  </si>
  <si>
    <t>Number of rows in the Onboarding Tracker.</t>
  </si>
  <si>
    <t>Tasks with Status = Completed.</t>
  </si>
  <si>
    <t>Tasks with Status = In Progress.</t>
  </si>
  <si>
    <t>Tasks with Status = Pending (not started).</t>
  </si>
  <si>
    <t>Not Completed and due before the as-of date. Also counted in Pending / In Progress.</t>
  </si>
  <si>
    <t>Due soon</t>
  </si>
  <si>
    <t>Not Completed and due within the due-soon window. Not overdue yet.</t>
  </si>
  <si>
    <t>Task completion rate</t>
  </si>
  <si>
    <t>Completed tasks / total tasks.</t>
  </si>
  <si>
    <t>Completion rate of tasks already due</t>
  </si>
  <si>
    <t>Of tasks whose due date has arrived, the share that is Completed.</t>
  </si>
  <si>
    <t>Document verification rate</t>
  </si>
  <si>
    <t>Verified documents / all document records.</t>
  </si>
  <si>
    <t>Onboarding tasks by department (sorted by open tasks)</t>
  </si>
  <si>
    <t>Open</t>
  </si>
  <si>
    <t>Counts tasks, not people: departments with more recent joiners have more tasks. Sorted by open tasks (In Progress + Pending).</t>
  </si>
  <si>
    <t>Open and overdue tasks by owner</t>
  </si>
  <si>
    <t>Task owner</t>
  </si>
  <si>
    <t>Open tasks</t>
  </si>
  <si>
    <t>Overdue (in Open)</t>
  </si>
  <si>
    <t>Lowest onboarding completion (10 employees with open tasks)</t>
  </si>
  <si>
    <t>Employee</t>
  </si>
  <si>
    <t>Joined</t>
  </si>
  <si>
    <t>Total tasks</t>
  </si>
  <si>
    <t>% complete</t>
  </si>
  <si>
    <t>Overdue tasks are part of open tasks, not extra. Shows where follow-up sits, not who is slow: tasks also depend on employees and managers.</t>
  </si>
  <si>
    <t>Document status</t>
  </si>
  <si>
    <t>Documents</t>
  </si>
  <si>
    <t>What it means</t>
  </si>
  <si>
    <t>Submitted and checked. No action.</t>
  </si>
  <si>
    <t>Awaiting verification</t>
  </si>
  <si>
    <t>Submitted, not yet verified. HR / agency to complete the check.</t>
  </si>
  <si>
    <t>Needs resubmission</t>
  </si>
  <si>
    <t>Submitted but rejected. Employee must send it again.</t>
  </si>
  <si>
    <t>Not submitted</t>
  </si>
  <si>
    <t>Not received yet. Employee must send it.</t>
  </si>
  <si>
    <t>All document records</t>
  </si>
  <si>
    <t>Data checks</t>
  </si>
  <si>
    <t>Checks passed (detail in rows 69-79)</t>
  </si>
  <si>
    <t>Lowest 10 of the employees with open tasks. A recent joiner can score low only because few tasks are due yet; check the Joined date.</t>
  </si>
  <si>
    <t>Notes</t>
  </si>
  <si>
    <t>Sample data is built around 16-Oct-2026, so the as-of date is typed in. Put =TODAY() in B4 to use the tracker live (open tasks then become overdue as days pass).</t>
  </si>
  <si>
    <t>Status is what the task owner reports. Overdue and Due Soon are worked out from Status and Due Date and never change Status. Tables and charts are formulas, so they update by themselves (F9 if calculation is manual).</t>
  </si>
  <si>
    <t>Follow-up: filter the Onboarding Tracker on Overdue = Yes or Due Soon = Yes; filter the Document Checklist on Document Status. Set Employment Status to Active when onboarding is finished.</t>
  </si>
  <si>
    <t>Data check details (result should be OK)</t>
  </si>
  <si>
    <t>Check</t>
  </si>
  <si>
    <t>Difference</t>
  </si>
  <si>
    <t>Result</t>
  </si>
  <si>
    <t>Completed + In Progress + Pending = total tasks</t>
  </si>
  <si>
    <t>Open tasks by owner = In Progress + Pending</t>
  </si>
  <si>
    <t>Open tasks by department = In Progress + Pending</t>
  </si>
  <si>
    <t>Overdue flag matches Status and Due Date</t>
  </si>
  <si>
    <t>Tasks with an Employee ID not in the master</t>
  </si>
  <si>
    <t>Documents with an Employee ID not in the master</t>
  </si>
  <si>
    <t>Document status rows add up to all records</t>
  </si>
  <si>
    <t>Completed tasks with no completion date</t>
  </si>
  <si>
    <t>Open tasks that have a completion date</t>
  </si>
  <si>
    <t>Not Submitted but also marked verified or rejected</t>
  </si>
  <si>
    <t>Employees missing from the chart workings (max 60)</t>
  </si>
  <si>
    <t>Chart workings (formulas, do not type here)</t>
  </si>
  <si>
    <t>Department (from Lists)</t>
  </si>
  <si>
    <t>Sort key</t>
  </si>
  <si>
    <t>Sort key = % complete + a tiny row-based tie-breaker; only employees with open tasks get a key. SMALL() on the key gives the lowest-completion list.</t>
  </si>
  <si>
    <t>Employee name</t>
  </si>
  <si>
    <t>Task Status</t>
  </si>
  <si>
    <t>Dropdown sources. To add a value, type it below the list, then extend that list's named range (Formulas &gt; Name Manager).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</si>
</sst>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m\-yyyy"/>
    <numFmt numFmtId="165" formatCode="0.0%"/>
    <numFmt numFmtId="166" formatCode="0.00000"/>
    <numFmt numFmtId="167" formatCode="0.0000000"/>
  </numFmts>
  <fonts count="7" x14ac:knownFonts="1">
    <font>
      <sz val="11"/>
      <color theme="1"/>
      <name val="Calibri"/>
      <family val="2"/>
      <charset val="1"/>
    </font>
    <font>
      <b/>
      <sz val="10"/>
      <color rgb="FFFFFFFF"/>
      <name val="Arial"/>
      <charset val="1"/>
    </font>
    <font>
      <sz val="10"/>
      <name val="Arial"/>
      <charset val="1"/>
    </font>
    <font>
      <b/>
      <sz val="14"/>
      <name val="Arial"/>
      <charset val="1"/>
    </font>
    <font>
      <sz val="9"/>
      <color rgb="FF595959"/>
      <name val="Arial"/>
      <charset val="1"/>
    </font>
    <font>
      <b/>
      <sz val="10"/>
      <name val="Arial"/>
      <charset val="1"/>
    </font>
    <font>
      <b/>
      <sz val="11"/>
      <name val="Arial"/>
      <charset val="1"/>
    </font>
  </fonts>
  <fills count="8">
    <fill>
      <patternFill patternType="none"/>
    </fill>
    <fill>
      <patternFill patternType="gray125"/>
    </fill>
    <fill>
      <patternFill patternType="solid">
        <fgColor rgb="FF1F3864"/>
        <bgColor rgb="FF404040"/>
      </patternFill>
    </fill>
    <fill>
      <patternFill patternType="solid">
        <fgColor rgb="FF595959"/>
        <bgColor rgb="FF44546A"/>
      </patternFill>
    </fill>
    <fill>
      <patternFill patternType="solid">
        <fgColor rgb="FFFFF2CC"/>
        <bgColor rgb="FFF2F2F2"/>
      </patternFill>
    </fill>
    <fill>
      <patternFill patternType="solid">
        <fgColor rgb="FFD9D9D9"/>
        <bgColor rgb="FFE0E0E0"/>
      </patternFill>
    </fill>
    <fill>
      <patternFill patternType="solid">
        <fgColor theme="4" tint="0.39997558519241921"/>
        <bgColor rgb="FFE0E0E0"/>
      </patternFill>
    </fill>
    <fill>
      <patternFill patternType="solid">
        <fgColor theme="4" tint="0.39997558519241921"/>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4" fillId="0" borderId="0" xfId="0" applyFont="1" applyBorder="1" applyAlignment="1">
      <alignment vertical="top" wrapText="1"/>
    </xf>
    <xf numFmtId="0" fontId="4" fillId="0" borderId="1" xfId="0" applyFont="1" applyBorder="1" applyAlignment="1">
      <alignment vertical="center" indent="1"/>
    </xf>
    <xf numFmtId="0" fontId="4" fillId="0" borderId="0" xfId="0" applyFont="1" applyBorder="1"/>
    <xf numFmtId="0" fontId="1" fillId="2" borderId="1" xfId="0" applyFont="1" applyFill="1" applyBorder="1" applyAlignment="1">
      <alignment vertical="center" wrapText="1"/>
    </xf>
    <xf numFmtId="0" fontId="2" fillId="0" borderId="1" xfId="0" applyFont="1" applyBorder="1"/>
    <xf numFmtId="164" fontId="2" fillId="0" borderId="1" xfId="0" applyNumberFormat="1" applyFont="1" applyBorder="1" applyAlignment="1">
      <alignment horizontal="center"/>
    </xf>
    <xf numFmtId="0" fontId="1" fillId="3" borderId="1" xfId="0" applyFont="1" applyFill="1" applyBorder="1" applyAlignment="1">
      <alignment vertical="center" wrapText="1"/>
    </xf>
    <xf numFmtId="0" fontId="2" fillId="0" borderId="1" xfId="0" applyFont="1" applyBorder="1" applyAlignment="1">
      <alignment horizontal="center"/>
    </xf>
    <xf numFmtId="1" fontId="2" fillId="0" borderId="1" xfId="0" applyNumberFormat="1" applyFont="1" applyBorder="1" applyAlignment="1">
      <alignment horizontal="center"/>
    </xf>
    <xf numFmtId="0" fontId="3" fillId="0" borderId="0" xfId="0" applyFont="1"/>
    <xf numFmtId="0" fontId="4" fillId="0" borderId="0" xfId="0" applyFont="1"/>
    <xf numFmtId="0" fontId="5" fillId="0" borderId="0" xfId="0" applyFont="1"/>
    <xf numFmtId="164" fontId="5" fillId="4" borderId="1" xfId="0" applyNumberFormat="1" applyFont="1" applyFill="1" applyBorder="1" applyAlignment="1">
      <alignment horizontal="center" vertical="center"/>
    </xf>
    <xf numFmtId="1" fontId="5" fillId="4" borderId="1" xfId="0" applyNumberFormat="1" applyFont="1" applyFill="1" applyBorder="1" applyAlignment="1">
      <alignment horizontal="center" vertical="center"/>
    </xf>
    <xf numFmtId="0" fontId="6" fillId="0" borderId="0" xfId="0" applyFont="1"/>
    <xf numFmtId="3"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3" fontId="2" fillId="0" borderId="1" xfId="0" applyNumberFormat="1" applyFont="1" applyBorder="1" applyAlignment="1">
      <alignment horizontal="right"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0" applyNumberFormat="1" applyFont="1" applyBorder="1" applyAlignment="1">
      <alignment horizontal="right" vertical="center"/>
    </xf>
    <xf numFmtId="0" fontId="5" fillId="0" borderId="1" xfId="0" applyFont="1" applyBorder="1" applyAlignment="1">
      <alignment horizontal="right" vertical="center"/>
    </xf>
    <xf numFmtId="1" fontId="2" fillId="0" borderId="1" xfId="0" applyNumberFormat="1" applyFont="1" applyBorder="1" applyAlignment="1">
      <alignment horizontal="right"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0" fontId="2" fillId="0" borderId="1" xfId="0" applyFont="1" applyBorder="1" applyAlignment="1">
      <alignment horizontal="right" vertical="center"/>
    </xf>
    <xf numFmtId="166" fontId="2" fillId="0" borderId="1" xfId="0" applyNumberFormat="1" applyFont="1" applyBorder="1" applyAlignment="1">
      <alignment horizontal="right" vertical="center"/>
    </xf>
    <xf numFmtId="167" fontId="2" fillId="0" borderId="1" xfId="0" applyNumberFormat="1" applyFont="1" applyBorder="1" applyAlignment="1">
      <alignment horizontal="right" vertical="center"/>
    </xf>
    <xf numFmtId="0" fontId="1" fillId="2" borderId="0" xfId="0" applyFont="1" applyFill="1" applyAlignment="1">
      <alignment vertical="center" wrapText="1"/>
    </xf>
    <xf numFmtId="0" fontId="2" fillId="0" borderId="0" xfId="0" applyFont="1"/>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xf numFmtId="3" fontId="5" fillId="7" borderId="1" xfId="0" applyNumberFormat="1" applyFont="1" applyFill="1" applyBorder="1" applyAlignment="1">
      <alignment horizontal="right" vertical="center"/>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cellXfs>
  <cellStyles count="1">
    <cellStyle name="Normal" xfId="0" builtinId="0"/>
  </cellStyles>
  <dxfs count="19">
    <dxf>
      <font>
        <color rgb="FF9C0006"/>
        <name val="Arial"/>
      </font>
      <fill>
        <patternFill>
          <bgColor rgb="FFFFC7CE"/>
        </patternFill>
      </fill>
    </dxf>
    <dxf>
      <font>
        <b/>
        <color rgb="FF9C0006"/>
        <name val="Arial"/>
      </font>
    </dxf>
    <dxf>
      <font>
        <b/>
        <color rgb="FF9C0006"/>
        <name val="Arial"/>
      </font>
    </dxf>
    <dxf>
      <font>
        <color rgb="FF9C0006"/>
        <name val="Arial"/>
      </font>
      <fill>
        <patternFill>
          <bgColor rgb="FFFFC7CE"/>
        </patternFill>
      </fill>
    </dxf>
    <dxf>
      <font>
        <color rgb="FF006100"/>
        <name val="Arial"/>
      </font>
      <fill>
        <patternFill>
          <bgColor rgb="FFC6EFCE"/>
        </patternFill>
      </fill>
    </dxf>
    <dxf>
      <font>
        <color rgb="FF9C0006"/>
        <name val="Arial"/>
      </font>
      <fill>
        <patternFill>
          <bgColor rgb="FFFFC7CE"/>
        </patternFill>
      </fill>
    </dxf>
    <dxf>
      <font>
        <color rgb="FF006100"/>
        <name val="Arial"/>
      </font>
      <fill>
        <patternFill>
          <bgColor rgb="FFC6EFCE"/>
        </patternFill>
      </fill>
    </dxf>
    <dxf>
      <font>
        <color rgb="FF006100"/>
        <name val="Arial"/>
      </font>
      <fill>
        <patternFill>
          <bgColor rgb="FFC6EFCE"/>
        </patternFill>
      </fill>
    </dxf>
    <dxf>
      <font>
        <color rgb="FF1F3864"/>
        <name val="Arial"/>
      </font>
      <fill>
        <patternFill>
          <bgColor rgb="FFDDEBF7"/>
        </patternFill>
      </fill>
    </dxf>
    <dxf>
      <font>
        <color rgb="FF7F6000"/>
        <name val="Arial"/>
      </font>
      <fill>
        <patternFill>
          <bgColor rgb="FFFFEB9C"/>
        </patternFill>
      </fill>
    </dxf>
    <dxf>
      <font>
        <color rgb="FF9C0006"/>
        <name val="Arial"/>
      </font>
      <fill>
        <patternFill>
          <bgColor rgb="FFFFC7CE"/>
        </patternFill>
      </fill>
    </dxf>
    <dxf>
      <font>
        <color rgb="FF7F6000"/>
        <name val="Arial"/>
      </font>
      <fill>
        <patternFill>
          <bgColor rgb="FFFFEB9C"/>
        </patternFill>
      </fill>
    </dxf>
    <dxf>
      <font>
        <color rgb="FF9C0006"/>
        <name val="Arial"/>
      </font>
      <fill>
        <patternFill>
          <bgColor rgb="FFFFC7CE"/>
        </patternFill>
      </fill>
    </dxf>
    <dxf>
      <font>
        <color rgb="FF7F6000"/>
        <name val="Arial"/>
      </font>
      <fill>
        <patternFill>
          <bgColor rgb="FFFFEB9C"/>
        </patternFill>
      </fill>
    </dxf>
    <dxf>
      <font>
        <color rgb="FF9C0006"/>
        <name val="Arial"/>
      </font>
      <fill>
        <patternFill>
          <bgColor rgb="FFFFC7CE"/>
        </patternFill>
      </fill>
    </dxf>
    <dxf>
      <font>
        <color rgb="FF7F6000"/>
        <name val="Arial"/>
      </font>
      <fill>
        <patternFill>
          <bgColor rgb="FFFFEB9C"/>
        </patternFill>
      </fill>
    </dxf>
    <dxf>
      <font>
        <color rgb="FF9C0006"/>
        <name val="Arial"/>
      </font>
      <fill>
        <patternFill>
          <bgColor rgb="FFFFC7CE"/>
        </patternFill>
      </fill>
    </dxf>
    <dxf>
      <font>
        <color rgb="FF7F6000"/>
        <name val="Arial"/>
      </font>
      <fill>
        <patternFill>
          <bgColor rgb="FFFFEB9C"/>
        </patternFill>
      </fill>
    </dxf>
    <dxf>
      <font>
        <color rgb="FF1F3864"/>
        <name val="Arial"/>
      </font>
      <fill>
        <patternFill>
          <bgColor rgb="FFDDEBF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78787"/>
      <rgbColor rgb="FF9999FF"/>
      <rgbColor rgb="FFB5483A"/>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B3B3B3"/>
      <rgbColor rgb="FFFF99CC"/>
      <rgbColor rgb="FFE0E0E0"/>
      <rgbColor rgb="FFFFC7CE"/>
      <rgbColor rgb="FF3366FF"/>
      <rgbColor rgb="FF33CCCC"/>
      <rgbColor rgb="FF99CC00"/>
      <rgbColor rgb="FFFFCC00"/>
      <rgbColor rgb="FFD9A441"/>
      <rgbColor rgb="FFFF6600"/>
      <rgbColor rgb="FF595959"/>
      <rgbColor rgb="FF8497B0"/>
      <rgbColor rgb="FF1F3864"/>
      <rgbColor rgb="FF339966"/>
      <rgbColor rgb="FF003300"/>
      <rgbColor rgb="FF404040"/>
      <rgbColor rgb="FF993300"/>
      <rgbColor rgb="FF993366"/>
      <rgbColor rgb="FF44546A"/>
      <rgbColor rgb="FF262626"/>
      <rgbColor rgb="00003366"/>
      <rgbColor rgb="00339966"/>
      <rgbColor rgb="00003300"/>
      <rgbColor rgb="00333300"/>
      <rgbColor rgb="00993300"/>
      <rgbColor rgb="00993366"/>
      <rgbColor rgb="00333399"/>
      <rgbColor rgb="00333333"/>
    </indexedColors>
    <mruColors>
      <color rgb="FF2A9D8F"/>
      <color rgb="FF24476B"/>
      <color rgb="FFE9C46A"/>
      <color rgb="FFE76F51"/>
      <color rgb="FF8B95A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c:style val="2"/>
  <c:chart>
    <c:title>
      <c:tx>
        <c:rich>
          <a:bodyPr rot="0"/>
          <a:lstStyle/>
          <a:p>
            <a:pPr>
              <a:defRPr sz="1100" b="1" strike="noStrike" spc="-1">
                <a:solidFill>
                  <a:srgbClr val="262626"/>
                </a:solidFill>
                <a:latin typeface="Arial"/>
              </a:defRPr>
            </a:pPr>
            <a:r>
              <a:rPr lang="en-IN" sz="1100" b="1" strike="noStrike" spc="-1">
                <a:solidFill>
                  <a:srgbClr val="262626"/>
                </a:solidFill>
                <a:latin typeface="Arial"/>
              </a:rPr>
              <a:t>Onboarding tasks by department and status</a:t>
            </a:r>
          </a:p>
        </c:rich>
      </c:tx>
      <c:layout/>
      <c:overlay val="0"/>
      <c:spPr>
        <a:noFill/>
        <a:ln w="0">
          <a:noFill/>
        </a:ln>
      </c:spPr>
    </c:title>
    <c:autoTitleDeleted val="0"/>
    <c:plotArea>
      <c:layout>
        <c:manualLayout>
          <c:layoutTarget val="inner"/>
          <c:xMode val="edge"/>
          <c:yMode val="edge"/>
          <c:x val="0.26313477119707862"/>
          <c:y val="0.11927593230851641"/>
          <c:w val="0.7017303271873625"/>
          <c:h val="0.70362491982604891"/>
        </c:manualLayout>
      </c:layout>
      <c:barChart>
        <c:barDir val="bar"/>
        <c:grouping val="stacked"/>
        <c:varyColors val="0"/>
        <c:ser>
          <c:idx val="0"/>
          <c:order val="0"/>
          <c:tx>
            <c:strRef>
              <c:f>'HR Operations Dashboard'!$B$21</c:f>
              <c:strCache>
                <c:ptCount val="1"/>
                <c:pt idx="0">
                  <c:v>Completed</c:v>
                </c:pt>
              </c:strCache>
            </c:strRef>
          </c:tx>
          <c:spPr>
            <a:solidFill>
              <a:srgbClr val="2A9D8F"/>
            </a:solidFill>
            <a:ln w="0">
              <a:solidFill>
                <a:srgbClr val="8497B0"/>
              </a:solidFill>
            </a:ln>
          </c:spPr>
          <c:invertIfNegative val="0"/>
          <c:dLbls>
            <c:txPr>
              <a:bodyPr wrap="square"/>
              <a:lstStyle/>
              <a:p>
                <a:pPr>
                  <a:defRPr sz="850" b="0" strike="noStrike" spc="-1">
                    <a:solidFill>
                      <a:srgbClr val="404040"/>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'HR Operations Dashboard'!$A$22:$A$29</c:f>
              <c:strCache>
                <c:ptCount val="8"/>
                <c:pt idx="0">
                  <c:v>Customer Support</c:v>
                </c:pt>
                <c:pt idx="1">
                  <c:v>Marketing</c:v>
                </c:pt>
                <c:pt idx="2">
                  <c:v>Operations</c:v>
                </c:pt>
                <c:pt idx="3">
                  <c:v>Sales</c:v>
                </c:pt>
                <c:pt idx="4">
                  <c:v>Information Technology</c:v>
                </c:pt>
                <c:pt idx="5">
                  <c:v>Administration</c:v>
                </c:pt>
                <c:pt idx="6">
                  <c:v>Human Resources</c:v>
                </c:pt>
                <c:pt idx="7">
                  <c:v>Finance</c:v>
                </c:pt>
              </c:strCache>
            </c:strRef>
          </c:cat>
          <c:val>
            <c:numRef>
              <c:f>'HR Operations Dashboard'!$B$22:$B$29</c:f>
              <c:numCache>
                <c:formatCode>#,##0</c:formatCode>
                <c:ptCount val="8"/>
                <c:pt idx="0">
                  <c:v>18</c:v>
                </c:pt>
                <c:pt idx="1">
                  <c:v>5</c:v>
                </c:pt>
                <c:pt idx="2">
                  <c:v>17</c:v>
                </c:pt>
                <c:pt idx="3">
                  <c:v>13</c:v>
                </c:pt>
                <c:pt idx="4">
                  <c:v>21</c:v>
                </c:pt>
                <c:pt idx="5">
                  <c:v>6</c:v>
                </c:pt>
                <c:pt idx="6">
                  <c:v>7</c:v>
                </c:pt>
                <c:pt idx="7">
                  <c:v>7</c:v>
                </c:pt>
              </c:numCache>
            </c:numRef>
          </c:val>
        </c:ser>
        <c:ser>
          <c:idx val="1"/>
          <c:order val="1"/>
          <c:tx>
            <c:strRef>
              <c:f>'HR Operations Dashboard'!$C$21</c:f>
              <c:strCache>
                <c:ptCount val="1"/>
                <c:pt idx="0">
                  <c:v>In Progress</c:v>
                </c:pt>
              </c:strCache>
            </c:strRef>
          </c:tx>
          <c:spPr>
            <a:solidFill>
              <a:srgbClr val="E9C46A"/>
            </a:solidFill>
            <a:ln w="0">
              <a:solidFill>
                <a:srgbClr val="D9A441"/>
              </a:solidFill>
            </a:ln>
          </c:spPr>
          <c:invertIfNegative val="0"/>
          <c:dLbls>
            <c:txPr>
              <a:bodyPr wrap="square"/>
              <a:lstStyle/>
              <a:p>
                <a:pPr>
                  <a:defRPr sz="850" b="0" strike="noStrike" spc="-1">
                    <a:solidFill>
                      <a:srgbClr val="404040"/>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'HR Operations Dashboard'!$A$22:$A$29</c:f>
              <c:strCache>
                <c:ptCount val="8"/>
                <c:pt idx="0">
                  <c:v>Customer Support</c:v>
                </c:pt>
                <c:pt idx="1">
                  <c:v>Marketing</c:v>
                </c:pt>
                <c:pt idx="2">
                  <c:v>Operations</c:v>
                </c:pt>
                <c:pt idx="3">
                  <c:v>Sales</c:v>
                </c:pt>
                <c:pt idx="4">
                  <c:v>Information Technology</c:v>
                </c:pt>
                <c:pt idx="5">
                  <c:v>Administration</c:v>
                </c:pt>
                <c:pt idx="6">
                  <c:v>Human Resources</c:v>
                </c:pt>
                <c:pt idx="7">
                  <c:v>Finance</c:v>
                </c:pt>
              </c:strCache>
            </c:strRef>
          </c:cat>
          <c:val>
            <c:numRef>
              <c:f>'HR Operations Dashboard'!$C$22:$C$29</c:f>
              <c:numCache>
                <c:formatCode>#,##0</c:formatCode>
                <c:ptCount val="8"/>
                <c:pt idx="0">
                  <c:v>5</c:v>
                </c:pt>
                <c:pt idx="1">
                  <c:v>3</c:v>
                </c:pt>
                <c:pt idx="2">
                  <c:v>4</c:v>
                </c:pt>
                <c:pt idx="3">
                  <c:v>2</c:v>
                </c:pt>
                <c:pt idx="4">
                  <c:v>2</c:v>
                </c:pt>
                <c:pt idx="5">
                  <c:v>1</c:v>
                </c:pt>
                <c:pt idx="6">
                  <c:v>0</c:v>
                </c:pt>
                <c:pt idx="7">
                  <c:v>1</c:v>
                </c:pt>
              </c:numCache>
            </c:numRef>
          </c:val>
        </c:ser>
        <c:ser>
          <c:idx val="2"/>
          <c:order val="2"/>
          <c:tx>
            <c:strRef>
              <c:f>'HR Operations Dashboard'!$D$21</c:f>
              <c:strCache>
                <c:ptCount val="1"/>
                <c:pt idx="0">
                  <c:v>Pending</c:v>
                </c:pt>
              </c:strCache>
            </c:strRef>
          </c:tx>
          <c:spPr>
            <a:solidFill>
              <a:srgbClr val="8B95A5"/>
            </a:solidFill>
            <a:ln w="0">
              <a:solidFill>
                <a:srgbClr val="B3B3B3"/>
              </a:solidFill>
            </a:ln>
          </c:spPr>
          <c:invertIfNegative val="0"/>
          <c:dLbls>
            <c:spPr>
              <a:solidFill>
                <a:srgbClr val="8B95A5"/>
              </a:solidFill>
            </c:spPr>
            <c:txPr>
              <a:bodyPr wrap="square"/>
              <a:lstStyle/>
              <a:p>
                <a:pPr>
                  <a:defRPr sz="850" b="0" strike="noStrike" spc="-1">
                    <a:solidFill>
                      <a:srgbClr val="404040"/>
                    </a:solidFill>
                    <a:latin typeface="Arial"/>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'HR Operations Dashboard'!$A$22:$A$29</c:f>
              <c:strCache>
                <c:ptCount val="8"/>
                <c:pt idx="0">
                  <c:v>Customer Support</c:v>
                </c:pt>
                <c:pt idx="1">
                  <c:v>Marketing</c:v>
                </c:pt>
                <c:pt idx="2">
                  <c:v>Operations</c:v>
                </c:pt>
                <c:pt idx="3">
                  <c:v>Sales</c:v>
                </c:pt>
                <c:pt idx="4">
                  <c:v>Information Technology</c:v>
                </c:pt>
                <c:pt idx="5">
                  <c:v>Administration</c:v>
                </c:pt>
                <c:pt idx="6">
                  <c:v>Human Resources</c:v>
                </c:pt>
                <c:pt idx="7">
                  <c:v>Finance</c:v>
                </c:pt>
              </c:strCache>
            </c:strRef>
          </c:cat>
          <c:val>
            <c:numRef>
              <c:f>'HR Operations Dashboard'!$D$22:$D$29</c:f>
              <c:numCache>
                <c:formatCode>#,##0</c:formatCode>
                <c:ptCount val="8"/>
                <c:pt idx="0">
                  <c:v>9</c:v>
                </c:pt>
                <c:pt idx="1">
                  <c:v>8</c:v>
                </c:pt>
                <c:pt idx="2">
                  <c:v>3</c:v>
                </c:pt>
                <c:pt idx="3">
                  <c:v>1</c:v>
                </c:pt>
                <c:pt idx="4">
                  <c:v>1</c:v>
                </c:pt>
                <c:pt idx="5">
                  <c:v>1</c:v>
                </c:pt>
                <c:pt idx="6">
                  <c:v>1</c:v>
                </c:pt>
                <c:pt idx="7">
                  <c:v>0</c:v>
                </c:pt>
              </c:numCache>
            </c:numRef>
          </c:val>
        </c:ser>
        <c:dLbls>
          <c:showLegendKey val="0"/>
          <c:showVal val="0"/>
          <c:showCatName val="0"/>
          <c:showSerName val="0"/>
          <c:showPercent val="0"/>
          <c:showBubbleSize val="0"/>
        </c:dLbls>
        <c:gapWidth val="55"/>
        <c:overlap val="100"/>
        <c:axId val="213668608"/>
        <c:axId val="213670528"/>
      </c:barChart>
      <c:catAx>
        <c:axId val="213668608"/>
        <c:scaling>
          <c:orientation val="maxMin"/>
        </c:scaling>
        <c:delete val="0"/>
        <c:axPos val="l"/>
        <c:title>
          <c:tx>
            <c:rich>
              <a:bodyPr rot="-5400000"/>
              <a:lstStyle/>
              <a:p>
                <a:pPr>
                  <a:defRPr sz="900" b="0" strike="noStrike" spc="-1">
                    <a:solidFill>
                      <a:srgbClr val="595959"/>
                    </a:solidFill>
                    <a:latin typeface="Arial"/>
                  </a:defRPr>
                </a:pPr>
                <a:r>
                  <a:rPr lang="en-IN" sz="900" b="0" strike="noStrike" spc="-1">
                    <a:solidFill>
                      <a:srgbClr val="595959"/>
                    </a:solidFill>
                    <a:latin typeface="Arial"/>
                  </a:rPr>
                  <a:t>Department</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900" b="0" strike="noStrike" spc="-1">
                <a:solidFill>
                  <a:srgbClr val="404040"/>
                </a:solidFill>
                <a:latin typeface="Arial"/>
              </a:defRPr>
            </a:pPr>
            <a:endParaRPr lang="en-US"/>
          </a:p>
        </c:txPr>
        <c:crossAx val="213670528"/>
        <c:crosses val="autoZero"/>
        <c:auto val="1"/>
        <c:lblAlgn val="ctr"/>
        <c:lblOffset val="100"/>
        <c:noMultiLvlLbl val="0"/>
      </c:catAx>
      <c:valAx>
        <c:axId val="213670528"/>
        <c:scaling>
          <c:orientation val="minMax"/>
        </c:scaling>
        <c:delete val="0"/>
        <c:axPos val="b"/>
        <c:majorGridlines>
          <c:spPr>
            <a:ln w="9360">
              <a:solidFill>
                <a:srgbClr val="E0E0E0"/>
              </a:solidFill>
              <a:round/>
            </a:ln>
          </c:spPr>
        </c:majorGridlines>
        <c:title>
          <c:tx>
            <c:rich>
              <a:bodyPr rot="0"/>
              <a:lstStyle/>
              <a:p>
                <a:pPr>
                  <a:defRPr sz="900" b="0" strike="noStrike" spc="-1">
                    <a:solidFill>
                      <a:srgbClr val="595959"/>
                    </a:solidFill>
                    <a:latin typeface="Arial"/>
                  </a:defRPr>
                </a:pPr>
                <a:r>
                  <a:rPr lang="en-IN" sz="900" b="0" strike="noStrike" spc="-1">
                    <a:solidFill>
                      <a:srgbClr val="595959"/>
                    </a:solidFill>
                    <a:latin typeface="Arial"/>
                  </a:rPr>
                  <a:t>Number of tasks</a:t>
                </a:r>
              </a:p>
            </c:rich>
          </c:tx>
          <c:layout/>
          <c:overlay val="0"/>
          <c:spPr>
            <a:noFill/>
            <a:ln w="0">
              <a:noFill/>
            </a:ln>
          </c:spPr>
        </c:title>
        <c:numFmt formatCode="0" sourceLinked="0"/>
        <c:majorTickMark val="none"/>
        <c:minorTickMark val="none"/>
        <c:tickLblPos val="nextTo"/>
        <c:spPr>
          <a:ln w="9360">
            <a:solidFill>
              <a:srgbClr val="878787"/>
            </a:solidFill>
            <a:round/>
          </a:ln>
        </c:spPr>
        <c:txPr>
          <a:bodyPr/>
          <a:lstStyle/>
          <a:p>
            <a:pPr>
              <a:defRPr sz="900" b="0" strike="noStrike" spc="-1">
                <a:solidFill>
                  <a:srgbClr val="404040"/>
                </a:solidFill>
                <a:latin typeface="Arial"/>
              </a:defRPr>
            </a:pPr>
            <a:endParaRPr lang="en-US"/>
          </a:p>
        </c:txPr>
        <c:crossAx val="213668608"/>
        <c:crosses val="max"/>
        <c:crossBetween val="between"/>
        <c:majorUnit val="5"/>
      </c:valAx>
      <c:spPr>
        <a:noFill/>
        <a:ln w="0">
          <a:noFill/>
        </a:ln>
      </c:spPr>
    </c:plotArea>
    <c:legend>
      <c:legendPos val="b"/>
      <c:layout>
        <c:manualLayout>
          <c:xMode val="edge"/>
          <c:yMode val="edge"/>
          <c:x val="1.340351241097975E-2"/>
          <c:y val="0.90623735718464327"/>
          <c:w val="0.39364499066583697"/>
          <c:h val="7.1384419117698883E-2"/>
        </c:manualLayout>
      </c:layout>
      <c:overlay val="0"/>
      <c:spPr>
        <a:noFill/>
        <a:ln w="0">
          <a:noFill/>
        </a:ln>
      </c:spPr>
      <c:txPr>
        <a:bodyPr/>
        <a:lstStyle/>
        <a:p>
          <a:pPr>
            <a:defRPr sz="900" b="0" strike="noStrike" spc="-1">
              <a:solidFill>
                <a:srgbClr val="404040"/>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c:style val="2"/>
  <c:chart>
    <c:title>
      <c:tx>
        <c:rich>
          <a:bodyPr rot="0"/>
          <a:lstStyle/>
          <a:p>
            <a:pPr>
              <a:defRPr sz="1100" b="1" strike="noStrike" spc="-1">
                <a:solidFill>
                  <a:srgbClr val="262626"/>
                </a:solidFill>
                <a:latin typeface="Arial"/>
              </a:defRPr>
            </a:pPr>
            <a:r>
              <a:rPr lang="en-IN" sz="1100" b="1" strike="noStrike" spc="-1">
                <a:solidFill>
                  <a:srgbClr val="262626"/>
                </a:solidFill>
                <a:latin typeface="Arial"/>
              </a:rPr>
              <a:t>Open and overdue tasks by owner</a:t>
            </a:r>
          </a:p>
        </c:rich>
      </c:tx>
      <c:layout/>
      <c:overlay val="0"/>
      <c:spPr>
        <a:noFill/>
        <a:ln w="0">
          <a:noFill/>
        </a:ln>
      </c:spPr>
    </c:title>
    <c:autoTitleDeleted val="0"/>
    <c:plotArea>
      <c:layout>
        <c:manualLayout>
          <c:layoutTarget val="inner"/>
          <c:xMode val="edge"/>
          <c:yMode val="edge"/>
          <c:x val="0.23588052271313006"/>
          <c:y val="0.1236853375501363"/>
          <c:w val="0.72898447763257967"/>
          <c:h val="0.63799405364893469"/>
        </c:manualLayout>
      </c:layout>
      <c:barChart>
        <c:barDir val="bar"/>
        <c:grouping val="clustered"/>
        <c:varyColors val="0"/>
        <c:ser>
          <c:idx val="0"/>
          <c:order val="0"/>
          <c:tx>
            <c:strRef>
              <c:f>'HR Operations Dashboard'!$B$32</c:f>
              <c:strCache>
                <c:ptCount val="1"/>
                <c:pt idx="0">
                  <c:v>Open tasks</c:v>
                </c:pt>
              </c:strCache>
            </c:strRef>
          </c:tx>
          <c:spPr>
            <a:solidFill>
              <a:srgbClr val="24476B"/>
            </a:solidFill>
            <a:ln w="0">
              <a:solidFill>
                <a:srgbClr val="44546A"/>
              </a:solidFill>
            </a:ln>
          </c:spPr>
          <c:invertIfNegative val="0"/>
          <c:dLbls>
            <c:txPr>
              <a:bodyPr wrap="square"/>
              <a:lstStyle/>
              <a:p>
                <a:pPr>
                  <a:defRPr sz="85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'HR Operations Dashboard'!$A$33:$A$36</c:f>
              <c:strCache>
                <c:ptCount val="4"/>
                <c:pt idx="0">
                  <c:v>HR</c:v>
                </c:pt>
                <c:pt idx="1">
                  <c:v>IT</c:v>
                </c:pt>
                <c:pt idx="2">
                  <c:v>Payroll</c:v>
                </c:pt>
                <c:pt idx="3">
                  <c:v>Reporting Manager</c:v>
                </c:pt>
              </c:strCache>
            </c:strRef>
          </c:cat>
          <c:val>
            <c:numRef>
              <c:f>'HR Operations Dashboard'!$B$33:$B$36</c:f>
              <c:numCache>
                <c:formatCode>#,##0</c:formatCode>
                <c:ptCount val="4"/>
                <c:pt idx="0">
                  <c:v>25</c:v>
                </c:pt>
                <c:pt idx="1">
                  <c:v>3</c:v>
                </c:pt>
                <c:pt idx="2">
                  <c:v>8</c:v>
                </c:pt>
                <c:pt idx="3">
                  <c:v>6</c:v>
                </c:pt>
              </c:numCache>
            </c:numRef>
          </c:val>
        </c:ser>
        <c:ser>
          <c:idx val="1"/>
          <c:order val="1"/>
          <c:tx>
            <c:strRef>
              <c:f>'HR Operations Dashboard'!$C$32</c:f>
              <c:strCache>
                <c:ptCount val="1"/>
                <c:pt idx="0">
                  <c:v>Overdue (in Open)</c:v>
                </c:pt>
              </c:strCache>
            </c:strRef>
          </c:tx>
          <c:spPr>
            <a:solidFill>
              <a:srgbClr val="E76F51"/>
            </a:solidFill>
            <a:ln w="0">
              <a:solidFill>
                <a:srgbClr val="B5483A"/>
              </a:solidFill>
            </a:ln>
          </c:spPr>
          <c:invertIfNegative val="0"/>
          <c:dLbls>
            <c:txPr>
              <a:bodyPr wrap="square"/>
              <a:lstStyle/>
              <a:p>
                <a:pPr>
                  <a:defRPr sz="85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'HR Operations Dashboard'!$A$33:$A$36</c:f>
              <c:strCache>
                <c:ptCount val="4"/>
                <c:pt idx="0">
                  <c:v>HR</c:v>
                </c:pt>
                <c:pt idx="1">
                  <c:v>IT</c:v>
                </c:pt>
                <c:pt idx="2">
                  <c:v>Payroll</c:v>
                </c:pt>
                <c:pt idx="3">
                  <c:v>Reporting Manager</c:v>
                </c:pt>
              </c:strCache>
            </c:strRef>
          </c:cat>
          <c:val>
            <c:numRef>
              <c:f>'HR Operations Dashboard'!$C$33:$C$36</c:f>
              <c:numCache>
                <c:formatCode>#,##0</c:formatCode>
                <c:ptCount val="4"/>
                <c:pt idx="0">
                  <c:v>13</c:v>
                </c:pt>
                <c:pt idx="1">
                  <c:v>3</c:v>
                </c:pt>
                <c:pt idx="2">
                  <c:v>4</c:v>
                </c:pt>
                <c:pt idx="3">
                  <c:v>2</c:v>
                </c:pt>
              </c:numCache>
            </c:numRef>
          </c:val>
        </c:ser>
        <c:dLbls>
          <c:showLegendKey val="0"/>
          <c:showVal val="0"/>
          <c:showCatName val="0"/>
          <c:showSerName val="0"/>
          <c:showPercent val="0"/>
          <c:showBubbleSize val="0"/>
        </c:dLbls>
        <c:gapWidth val="60"/>
        <c:axId val="213709184"/>
        <c:axId val="213711104"/>
      </c:barChart>
      <c:catAx>
        <c:axId val="213709184"/>
        <c:scaling>
          <c:orientation val="maxMin"/>
        </c:scaling>
        <c:delete val="0"/>
        <c:axPos val="l"/>
        <c:title>
          <c:tx>
            <c:rich>
              <a:bodyPr rot="-5400000"/>
              <a:lstStyle/>
              <a:p>
                <a:pPr>
                  <a:defRPr sz="900" b="0" strike="noStrike" spc="-1">
                    <a:solidFill>
                      <a:srgbClr val="595959"/>
                    </a:solidFill>
                    <a:latin typeface="Arial"/>
                  </a:defRPr>
                </a:pPr>
                <a:r>
                  <a:rPr lang="en-IN" sz="900" b="0" strike="noStrike" spc="-1">
                    <a:solidFill>
                      <a:srgbClr val="595959"/>
                    </a:solidFill>
                    <a:latin typeface="Arial"/>
                  </a:rPr>
                  <a:t>Task owner</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900" b="0" strike="noStrike" spc="-1">
                <a:solidFill>
                  <a:srgbClr val="404040"/>
                </a:solidFill>
                <a:latin typeface="Arial"/>
              </a:defRPr>
            </a:pPr>
            <a:endParaRPr lang="en-US"/>
          </a:p>
        </c:txPr>
        <c:crossAx val="213711104"/>
        <c:crosses val="autoZero"/>
        <c:auto val="1"/>
        <c:lblAlgn val="ctr"/>
        <c:lblOffset val="100"/>
        <c:noMultiLvlLbl val="0"/>
      </c:catAx>
      <c:valAx>
        <c:axId val="213711104"/>
        <c:scaling>
          <c:orientation val="minMax"/>
        </c:scaling>
        <c:delete val="0"/>
        <c:axPos val="b"/>
        <c:majorGridlines>
          <c:spPr>
            <a:ln w="9360">
              <a:solidFill>
                <a:srgbClr val="E0E0E0"/>
              </a:solidFill>
              <a:round/>
            </a:ln>
          </c:spPr>
        </c:majorGridlines>
        <c:title>
          <c:tx>
            <c:rich>
              <a:bodyPr rot="0"/>
              <a:lstStyle/>
              <a:p>
                <a:pPr>
                  <a:defRPr sz="900" b="0" strike="noStrike" spc="-1">
                    <a:solidFill>
                      <a:srgbClr val="595959"/>
                    </a:solidFill>
                    <a:latin typeface="Arial"/>
                  </a:defRPr>
                </a:pPr>
                <a:r>
                  <a:rPr lang="en-IN" sz="900" b="0" strike="noStrike" spc="-1">
                    <a:solidFill>
                      <a:srgbClr val="595959"/>
                    </a:solidFill>
                    <a:latin typeface="Arial"/>
                  </a:rPr>
                  <a:t>Number of tasks</a:t>
                </a:r>
              </a:p>
            </c:rich>
          </c:tx>
          <c:layout/>
          <c:overlay val="0"/>
          <c:spPr>
            <a:noFill/>
            <a:ln w="0">
              <a:noFill/>
            </a:ln>
          </c:spPr>
        </c:title>
        <c:numFmt formatCode="0" sourceLinked="0"/>
        <c:majorTickMark val="none"/>
        <c:minorTickMark val="none"/>
        <c:tickLblPos val="nextTo"/>
        <c:spPr>
          <a:ln w="9360">
            <a:solidFill>
              <a:srgbClr val="878787"/>
            </a:solidFill>
            <a:round/>
          </a:ln>
        </c:spPr>
        <c:txPr>
          <a:bodyPr/>
          <a:lstStyle/>
          <a:p>
            <a:pPr>
              <a:defRPr sz="900" b="0" strike="noStrike" spc="-1">
                <a:solidFill>
                  <a:srgbClr val="404040"/>
                </a:solidFill>
                <a:latin typeface="Arial"/>
              </a:defRPr>
            </a:pPr>
            <a:endParaRPr lang="en-US"/>
          </a:p>
        </c:txPr>
        <c:crossAx val="213709184"/>
        <c:crosses val="max"/>
        <c:crossBetween val="between"/>
      </c:valAx>
      <c:spPr>
        <a:noFill/>
        <a:ln w="0">
          <a:noFill/>
        </a:ln>
      </c:spPr>
    </c:plotArea>
    <c:legend>
      <c:legendPos val="b"/>
      <c:layout>
        <c:manualLayout>
          <c:xMode val="edge"/>
          <c:yMode val="edge"/>
          <c:x val="1.5464979603125246E-2"/>
          <c:y val="0.8852078340292705"/>
          <c:w val="0.3631791467883565"/>
          <c:h val="8.3413221983379873E-2"/>
        </c:manualLayout>
      </c:layout>
      <c:overlay val="0"/>
      <c:spPr>
        <a:noFill/>
        <a:ln w="0">
          <a:noFill/>
        </a:ln>
      </c:spPr>
      <c:txPr>
        <a:bodyPr/>
        <a:lstStyle/>
        <a:p>
          <a:pPr>
            <a:defRPr sz="900" b="0" strike="noStrike" spc="-1">
              <a:solidFill>
                <a:srgbClr val="404040"/>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c:style val="2"/>
  <c:chart>
    <c:title>
      <c:tx>
        <c:rich>
          <a:bodyPr rot="0"/>
          <a:lstStyle/>
          <a:p>
            <a:pPr>
              <a:defRPr sz="1100" b="1" strike="noStrike" spc="-1">
                <a:solidFill>
                  <a:srgbClr val="262626"/>
                </a:solidFill>
                <a:latin typeface="Arial"/>
              </a:defRPr>
            </a:pPr>
            <a:r>
              <a:rPr lang="en-IN" sz="1100" b="1" strike="noStrike" spc="-1">
                <a:solidFill>
                  <a:srgbClr val="262626"/>
                </a:solidFill>
                <a:latin typeface="Arial"/>
              </a:rPr>
              <a:t>Lowest onboarding completion - employees with open tasks</a:t>
            </a:r>
          </a:p>
        </c:rich>
      </c:tx>
      <c:layout/>
      <c:overlay val="0"/>
      <c:spPr>
        <a:noFill/>
        <a:ln w="0">
          <a:noFill/>
        </a:ln>
      </c:spPr>
    </c:title>
    <c:autoTitleDeleted val="0"/>
    <c:plotArea>
      <c:layout/>
      <c:barChart>
        <c:barDir val="bar"/>
        <c:grouping val="clustered"/>
        <c:varyColors val="0"/>
        <c:ser>
          <c:idx val="0"/>
          <c:order val="0"/>
          <c:tx>
            <c:strRef>
              <c:f>'HR Operations Dashboard'!$F$39</c:f>
              <c:strCache>
                <c:ptCount val="1"/>
                <c:pt idx="0">
                  <c:v>% complete</c:v>
                </c:pt>
              </c:strCache>
            </c:strRef>
          </c:tx>
          <c:spPr>
            <a:solidFill>
              <a:srgbClr val="2A9D8F"/>
            </a:solidFill>
            <a:ln w="0">
              <a:solidFill>
                <a:srgbClr val="8497B0"/>
              </a:solidFill>
            </a:ln>
          </c:spPr>
          <c:invertIfNegative val="0"/>
          <c:dLbls>
            <c:txPr>
              <a:bodyPr wrap="square"/>
              <a:lstStyle/>
              <a:p>
                <a:pPr>
                  <a:defRPr sz="85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'HR Operations Dashboard'!$B$40:$B$49</c:f>
              <c:strCache>
                <c:ptCount val="10"/>
                <c:pt idx="0">
                  <c:v>WBS-1050</c:v>
                </c:pt>
                <c:pt idx="1">
                  <c:v>WBS-1049</c:v>
                </c:pt>
                <c:pt idx="2">
                  <c:v>WBS-1047</c:v>
                </c:pt>
                <c:pt idx="3">
                  <c:v>WBS-1048</c:v>
                </c:pt>
                <c:pt idx="4">
                  <c:v>WBS-1036</c:v>
                </c:pt>
                <c:pt idx="5">
                  <c:v>WBS-1045</c:v>
                </c:pt>
                <c:pt idx="6">
                  <c:v>WBS-1044</c:v>
                </c:pt>
                <c:pt idx="7">
                  <c:v>WBS-1043</c:v>
                </c:pt>
                <c:pt idx="8">
                  <c:v>WBS-1038</c:v>
                </c:pt>
                <c:pt idx="9">
                  <c:v>WBS-1040</c:v>
                </c:pt>
              </c:strCache>
            </c:strRef>
          </c:cat>
          <c:val>
            <c:numRef>
              <c:f>'HR Operations Dashboard'!$F$40:$F$49</c:f>
              <c:numCache>
                <c:formatCode>0%</c:formatCode>
                <c:ptCount val="10"/>
                <c:pt idx="0">
                  <c:v>0.125</c:v>
                </c:pt>
                <c:pt idx="1">
                  <c:v>0.125</c:v>
                </c:pt>
                <c:pt idx="2">
                  <c:v>0.375</c:v>
                </c:pt>
                <c:pt idx="3">
                  <c:v>0.5</c:v>
                </c:pt>
                <c:pt idx="4">
                  <c:v>0.625</c:v>
                </c:pt>
                <c:pt idx="5">
                  <c:v>0.75</c:v>
                </c:pt>
                <c:pt idx="6">
                  <c:v>0.75</c:v>
                </c:pt>
                <c:pt idx="7">
                  <c:v>0.75</c:v>
                </c:pt>
                <c:pt idx="8">
                  <c:v>0.75</c:v>
                </c:pt>
                <c:pt idx="9">
                  <c:v>0.875</c:v>
                </c:pt>
              </c:numCache>
            </c:numRef>
          </c:val>
        </c:ser>
        <c:dLbls>
          <c:showLegendKey val="0"/>
          <c:showVal val="0"/>
          <c:showCatName val="0"/>
          <c:showSerName val="0"/>
          <c:showPercent val="0"/>
          <c:showBubbleSize val="0"/>
        </c:dLbls>
        <c:gapWidth val="45"/>
        <c:axId val="215571840"/>
        <c:axId val="215574016"/>
      </c:barChart>
      <c:catAx>
        <c:axId val="215571840"/>
        <c:scaling>
          <c:orientation val="maxMin"/>
        </c:scaling>
        <c:delete val="0"/>
        <c:axPos val="l"/>
        <c:title>
          <c:tx>
            <c:rich>
              <a:bodyPr rot="-5400000"/>
              <a:lstStyle/>
              <a:p>
                <a:pPr>
                  <a:defRPr sz="900" b="0" strike="noStrike" spc="-1">
                    <a:solidFill>
                      <a:srgbClr val="595959"/>
                    </a:solidFill>
                    <a:latin typeface="Arial"/>
                  </a:defRPr>
                </a:pPr>
                <a:r>
                  <a:rPr lang="en-IN" sz="900" b="0" strike="noStrike" spc="-1">
                    <a:solidFill>
                      <a:srgbClr val="595959"/>
                    </a:solidFill>
                    <a:latin typeface="Arial"/>
                  </a:rPr>
                  <a:t>Employee ID</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900" b="0" strike="noStrike" spc="-1">
                <a:solidFill>
                  <a:srgbClr val="404040"/>
                </a:solidFill>
                <a:latin typeface="Arial"/>
              </a:defRPr>
            </a:pPr>
            <a:endParaRPr lang="en-US"/>
          </a:p>
        </c:txPr>
        <c:crossAx val="215574016"/>
        <c:crosses val="autoZero"/>
        <c:auto val="1"/>
        <c:lblAlgn val="ctr"/>
        <c:lblOffset val="100"/>
        <c:noMultiLvlLbl val="0"/>
      </c:catAx>
      <c:valAx>
        <c:axId val="215574016"/>
        <c:scaling>
          <c:orientation val="minMax"/>
          <c:max val="1"/>
          <c:min val="0"/>
        </c:scaling>
        <c:delete val="0"/>
        <c:axPos val="b"/>
        <c:majorGridlines>
          <c:spPr>
            <a:ln w="9360">
              <a:solidFill>
                <a:srgbClr val="E0E0E0"/>
              </a:solidFill>
              <a:round/>
            </a:ln>
          </c:spPr>
        </c:majorGridlines>
        <c:title>
          <c:tx>
            <c:rich>
              <a:bodyPr rot="0"/>
              <a:lstStyle/>
              <a:p>
                <a:pPr>
                  <a:defRPr sz="900" b="0" strike="noStrike" spc="-1">
                    <a:solidFill>
                      <a:srgbClr val="595959"/>
                    </a:solidFill>
                    <a:latin typeface="Arial"/>
                  </a:defRPr>
                </a:pPr>
                <a:r>
                  <a:rPr lang="en-IN" sz="900" b="0" strike="noStrike" spc="-1">
                    <a:solidFill>
                      <a:srgbClr val="595959"/>
                    </a:solidFill>
                    <a:latin typeface="Arial"/>
                  </a:rPr>
                  <a:t>% of assigned tasks completed</a:t>
                </a:r>
              </a:p>
            </c:rich>
          </c:tx>
          <c:layout/>
          <c:overlay val="0"/>
          <c:spPr>
            <a:noFill/>
            <a:ln w="0">
              <a:noFill/>
            </a:ln>
          </c:spPr>
        </c:title>
        <c:numFmt formatCode="0%" sourceLinked="0"/>
        <c:majorTickMark val="none"/>
        <c:minorTickMark val="none"/>
        <c:tickLblPos val="nextTo"/>
        <c:spPr>
          <a:ln w="9360">
            <a:solidFill>
              <a:srgbClr val="878787"/>
            </a:solidFill>
            <a:round/>
          </a:ln>
        </c:spPr>
        <c:txPr>
          <a:bodyPr/>
          <a:lstStyle/>
          <a:p>
            <a:pPr>
              <a:defRPr sz="900" b="0" strike="noStrike" spc="-1">
                <a:solidFill>
                  <a:srgbClr val="404040"/>
                </a:solidFill>
                <a:latin typeface="Arial"/>
              </a:defRPr>
            </a:pPr>
            <a:endParaRPr lang="en-US"/>
          </a:p>
        </c:txPr>
        <c:crossAx val="215571840"/>
        <c:crosses val="max"/>
        <c:crossBetween val="between"/>
        <c:majorUnit val="0.25"/>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xdr:row>
      <xdr:rowOff>160560</xdr:rowOff>
    </xdr:from>
    <xdr:to>
      <xdr:col>19</xdr:col>
      <xdr:colOff>190500</xdr:colOff>
      <xdr:row>21</xdr:row>
      <xdr:rowOff>64440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24</xdr:row>
      <xdr:rowOff>160560</xdr:rowOff>
    </xdr:from>
    <xdr:to>
      <xdr:col>18</xdr:col>
      <xdr:colOff>435960</xdr:colOff>
      <xdr:row>37</xdr:row>
      <xdr:rowOff>51480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41</xdr:row>
      <xdr:rowOff>160560</xdr:rowOff>
    </xdr:from>
    <xdr:to>
      <xdr:col>18</xdr:col>
      <xdr:colOff>435960</xdr:colOff>
      <xdr:row>58</xdr:row>
      <xdr:rowOff>161640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2" name="tblEmployees" displayName="tblEmployees" ref="A1:H51">
  <autoFilter ref="A1:H51"/>
  <tableColumns count="8">
    <tableColumn id="1" name="Employee ID" totalsRowLabel="Total"/>
    <tableColumn id="2" name="Employee Name"/>
    <tableColumn id="3" name="Department"/>
    <tableColumn id="4" name="Job Title"/>
    <tableColumn id="5" name="Joining Date"/>
    <tableColumn id="6" name="Reporting Manager"/>
    <tableColumn id="7" name="Work Location"/>
    <tableColumn id="8" name="Employment Status" totalsRowFunction="count"/>
  </tableColumns>
  <tableStyleInfo name="TableStyleLight2" showFirstColumn="0" showLastColumn="0" showRowStripes="1" showColumnStripes="0"/>
</table>
</file>

<file path=xl/tables/table2.xml><?xml version="1.0" encoding="utf-8"?>
<table xmlns="http://schemas.openxmlformats.org/spreadsheetml/2006/main" id="3" name="tblOnboarding" displayName="tblOnboarding" ref="A1:M137">
  <autoFilter ref="A1:M137"/>
  <tableColumns count="13">
    <tableColumn id="1" name="Task ID" totalsRowLabel="Total"/>
    <tableColumn id="2" name="Employee ID"/>
    <tableColumn id="3" name="Employee Name">
      <calculatedColumnFormula>IFERROR(INDEX(tblEmployees[Employee Name],MATCH(tblOnboarding[[#This Row],[Employee ID]],tblEmployees[Employee ID],0)),"ID not found")</calculatedColumnFormula>
    </tableColumn>
    <tableColumn id="4" name="Department">
      <calculatedColumnFormula>IFERROR(INDEX(tblEmployees[Department],MATCH(tblOnboarding[[#This Row],[Employee ID]],tblEmployees[Employee ID],0)),"")</calculatedColumnFormula>
    </tableColumn>
    <tableColumn id="5" name="Onboarding Task"/>
    <tableColumn id="6" name="Task Owner"/>
    <tableColumn id="7" name="Due Date"/>
    <tableColumn id="8" name="Completion Date"/>
    <tableColumn id="9" name="Status"/>
    <tableColumn id="10" name="Overdue">
      <calculatedColumnFormula>IF(OR(tblOnboarding[[#This Row],[Status]]="Completed",tblOnboarding[[#This Row],[Due Date]]=""),"No",IF(tblOnboarding[[#This Row],[Due Date]]&lt;ReportDate,"Yes","No"))</calculatedColumnFormula>
    </tableColumn>
    <tableColumn id="11" name="Days Overdue">
      <calculatedColumnFormula>IF(tblOnboarding[[#This Row],[Overdue]]="Yes",ReportDate-tblOnboarding[[#This Row],[Due Date]],"")</calculatedColumnFormula>
    </tableColumn>
    <tableColumn id="12" name="Due Soon">
      <calculatedColumnFormula>IF(OR(tblOnboarding[[#This Row],[Status]]="Completed",tblOnboarding[[#This Row],[Due Date]]=""),"No",IF(AND(tblOnboarding[[#This Row],[Due Date]]&gt;=ReportDate,tblOnboarding[[#This Row],[Due Date]]&lt;=ReportDate+DueSoonDays),"Yes","No"))</calculatedColumnFormula>
    </tableColumn>
    <tableColumn id="13" name="Remarks" totalsRowFunction="count"/>
  </tableColumns>
  <tableStyleInfo name="TableStyleLight2" showFirstColumn="0" showLastColumn="0" showRowStripes="1" showColumnStripes="0"/>
</table>
</file>

<file path=xl/tables/table3.xml><?xml version="1.0" encoding="utf-8"?>
<table xmlns="http://schemas.openxmlformats.org/spreadsheetml/2006/main" id="1" name="tblDocuments" displayName="tblDocuments" ref="A1:G69" totalsRowShown="0">
  <autoFilter ref="A1:G69"/>
  <tableColumns count="7">
    <tableColumn id="1" name="Employee ID"/>
    <tableColumn id="2" name="Employee Name">
      <calculatedColumnFormula>IFERROR(INDEX(tblEmployees[Employee Name],MATCH(tblDocuments[[#This Row],[Employee ID]],tblEmployees[Employee ID],0)),"ID not found")</calculatedColumnFormula>
    </tableColumn>
    <tableColumn id="3" name="Document Type"/>
    <tableColumn id="4" name="Submission Status"/>
    <tableColumn id="5" name="Verification Status"/>
    <tableColumn id="6" name="Document Status">
      <calculatedColumnFormula>IF(tblDocuments[[#This Row],[Submission Status]]&lt;&gt;"Submitted","Not Submitted",IF(tblDocuments[[#This Row],[Verification Status]]="Verified","Verified",IF(tblDocuments[[#This Row],[Verification Status]]="Needs Resubmission","Needs Resubmission","Awaiting Verification")))</calculatedColumnFormula>
    </tableColumn>
    <tableColumn id="7" name="Remark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1"/>
  <sheetViews>
    <sheetView zoomScaleNormal="100" workbookViewId="0">
      <pane xSplit="2" ySplit="1" topLeftCell="C2" activePane="bottomRight" state="frozen"/>
      <selection pane="topRight" activeCell="C1" sqref="C1"/>
      <selection pane="bottomLeft" activeCell="A2" sqref="A2"/>
      <selection pane="bottomRight" activeCell="C19" sqref="C19"/>
    </sheetView>
  </sheetViews>
  <sheetFormatPr defaultColWidth="8.6640625" defaultRowHeight="14.4" x14ac:dyDescent="0.3"/>
  <cols>
    <col min="1" max="1" width="13" customWidth="1"/>
    <col min="2" max="3" width="22" customWidth="1"/>
    <col min="4" max="4" width="30" customWidth="1"/>
    <col min="5" max="5" width="14" customWidth="1"/>
    <col min="6" max="6" width="22" customWidth="1"/>
    <col min="7" max="7" width="14" customWidth="1"/>
    <col min="8" max="8" width="18" customWidth="1"/>
  </cols>
  <sheetData>
    <row r="1" spans="1:8" ht="25.5" customHeight="1" x14ac:dyDescent="0.3">
      <c r="A1" s="4" t="s">
        <v>0</v>
      </c>
      <c r="B1" s="4" t="s">
        <v>1</v>
      </c>
      <c r="C1" s="4" t="s">
        <v>2</v>
      </c>
      <c r="D1" s="4" t="s">
        <v>3</v>
      </c>
      <c r="E1" s="4" t="s">
        <v>4</v>
      </c>
      <c r="F1" s="4" t="s">
        <v>5</v>
      </c>
      <c r="G1" s="4" t="s">
        <v>6</v>
      </c>
      <c r="H1" s="4" t="s">
        <v>7</v>
      </c>
    </row>
    <row r="2" spans="1:8" x14ac:dyDescent="0.3">
      <c r="A2" s="5" t="s">
        <v>8</v>
      </c>
      <c r="B2" s="5" t="s">
        <v>9</v>
      </c>
      <c r="C2" s="5" t="s">
        <v>10</v>
      </c>
      <c r="D2" s="5" t="s">
        <v>11</v>
      </c>
      <c r="E2" s="6">
        <v>43535</v>
      </c>
      <c r="F2" s="5" t="s">
        <v>12</v>
      </c>
      <c r="G2" s="5" t="s">
        <v>13</v>
      </c>
      <c r="H2" s="5" t="s">
        <v>14</v>
      </c>
    </row>
    <row r="3" spans="1:8" x14ac:dyDescent="0.3">
      <c r="A3" s="5" t="s">
        <v>15</v>
      </c>
      <c r="B3" s="5" t="s">
        <v>16</v>
      </c>
      <c r="C3" s="5" t="s">
        <v>17</v>
      </c>
      <c r="D3" s="5" t="s">
        <v>18</v>
      </c>
      <c r="E3" s="6">
        <v>46307</v>
      </c>
      <c r="F3" s="5" t="s">
        <v>19</v>
      </c>
      <c r="G3" s="5" t="s">
        <v>13</v>
      </c>
      <c r="H3" s="5" t="s">
        <v>20</v>
      </c>
    </row>
    <row r="4" spans="1:8" x14ac:dyDescent="0.3">
      <c r="A4" s="5" t="s">
        <v>21</v>
      </c>
      <c r="B4" s="5" t="s">
        <v>22</v>
      </c>
      <c r="C4" s="5" t="s">
        <v>23</v>
      </c>
      <c r="D4" s="5" t="s">
        <v>24</v>
      </c>
      <c r="E4" s="6">
        <v>43696</v>
      </c>
      <c r="F4" s="5" t="s">
        <v>12</v>
      </c>
      <c r="G4" s="5" t="s">
        <v>25</v>
      </c>
      <c r="H4" s="5" t="s">
        <v>14</v>
      </c>
    </row>
    <row r="5" spans="1:8" x14ac:dyDescent="0.3">
      <c r="A5" s="5" t="s">
        <v>26</v>
      </c>
      <c r="B5" s="5" t="s">
        <v>27</v>
      </c>
      <c r="C5" s="5" t="s">
        <v>28</v>
      </c>
      <c r="D5" s="5" t="s">
        <v>29</v>
      </c>
      <c r="E5" s="6">
        <v>46293</v>
      </c>
      <c r="F5" s="5" t="s">
        <v>30</v>
      </c>
      <c r="G5" s="5" t="s">
        <v>25</v>
      </c>
      <c r="H5" s="5" t="s">
        <v>20</v>
      </c>
    </row>
    <row r="6" spans="1:8" x14ac:dyDescent="0.3">
      <c r="A6" s="5" t="s">
        <v>31</v>
      </c>
      <c r="B6" s="5" t="s">
        <v>32</v>
      </c>
      <c r="C6" s="5" t="s">
        <v>33</v>
      </c>
      <c r="D6" s="5" t="s">
        <v>34</v>
      </c>
      <c r="E6" s="6">
        <v>46296</v>
      </c>
      <c r="F6" s="5" t="s">
        <v>35</v>
      </c>
      <c r="G6" s="5" t="s">
        <v>36</v>
      </c>
      <c r="H6" s="5" t="s">
        <v>14</v>
      </c>
    </row>
    <row r="7" spans="1:8" x14ac:dyDescent="0.3">
      <c r="A7" s="5" t="s">
        <v>37</v>
      </c>
      <c r="B7" s="5" t="s">
        <v>38</v>
      </c>
      <c r="C7" s="5" t="s">
        <v>39</v>
      </c>
      <c r="D7" s="5" t="s">
        <v>40</v>
      </c>
      <c r="E7" s="6">
        <v>44575</v>
      </c>
      <c r="F7" s="5" t="s">
        <v>41</v>
      </c>
      <c r="G7" s="5" t="s">
        <v>25</v>
      </c>
      <c r="H7" s="5" t="s">
        <v>14</v>
      </c>
    </row>
    <row r="8" spans="1:8" x14ac:dyDescent="0.3">
      <c r="A8" s="5" t="s">
        <v>42</v>
      </c>
      <c r="B8" s="5" t="s">
        <v>43</v>
      </c>
      <c r="C8" s="5" t="s">
        <v>33</v>
      </c>
      <c r="D8" s="5" t="s">
        <v>44</v>
      </c>
      <c r="E8" s="6">
        <v>46190</v>
      </c>
      <c r="F8" s="5" t="s">
        <v>45</v>
      </c>
      <c r="G8" s="5" t="s">
        <v>25</v>
      </c>
      <c r="H8" s="5" t="s">
        <v>14</v>
      </c>
    </row>
    <row r="9" spans="1:8" x14ac:dyDescent="0.3">
      <c r="A9" s="5" t="s">
        <v>46</v>
      </c>
      <c r="B9" s="5" t="s">
        <v>19</v>
      </c>
      <c r="C9" s="5" t="s">
        <v>17</v>
      </c>
      <c r="D9" s="5" t="s">
        <v>47</v>
      </c>
      <c r="E9" s="6">
        <v>43864</v>
      </c>
      <c r="F9" s="5" t="s">
        <v>12</v>
      </c>
      <c r="G9" s="5" t="s">
        <v>13</v>
      </c>
      <c r="H9" s="5" t="s">
        <v>14</v>
      </c>
    </row>
    <row r="10" spans="1:8" x14ac:dyDescent="0.3">
      <c r="A10" s="5" t="s">
        <v>48</v>
      </c>
      <c r="B10" s="5" t="s">
        <v>49</v>
      </c>
      <c r="C10" s="5" t="s">
        <v>28</v>
      </c>
      <c r="D10" s="5" t="s">
        <v>50</v>
      </c>
      <c r="E10" s="6">
        <v>43789</v>
      </c>
      <c r="F10" s="5" t="s">
        <v>30</v>
      </c>
      <c r="G10" s="5" t="s">
        <v>25</v>
      </c>
      <c r="H10" s="5" t="s">
        <v>14</v>
      </c>
    </row>
    <row r="11" spans="1:8" x14ac:dyDescent="0.3">
      <c r="A11" s="5" t="s">
        <v>51</v>
      </c>
      <c r="B11" s="5" t="s">
        <v>52</v>
      </c>
      <c r="C11" s="5" t="s">
        <v>53</v>
      </c>
      <c r="D11" s="5" t="s">
        <v>54</v>
      </c>
      <c r="E11" s="6">
        <v>46309</v>
      </c>
      <c r="F11" s="5" t="s">
        <v>55</v>
      </c>
      <c r="G11" s="5" t="s">
        <v>25</v>
      </c>
      <c r="H11" s="5" t="s">
        <v>20</v>
      </c>
    </row>
    <row r="12" spans="1:8" x14ac:dyDescent="0.3">
      <c r="A12" s="5" t="s">
        <v>56</v>
      </c>
      <c r="B12" s="5" t="s">
        <v>57</v>
      </c>
      <c r="C12" s="5" t="s">
        <v>23</v>
      </c>
      <c r="D12" s="5" t="s">
        <v>58</v>
      </c>
      <c r="E12" s="6">
        <v>44550</v>
      </c>
      <c r="F12" s="5" t="s">
        <v>22</v>
      </c>
      <c r="G12" s="5" t="s">
        <v>25</v>
      </c>
      <c r="H12" s="5" t="s">
        <v>59</v>
      </c>
    </row>
    <row r="13" spans="1:8" x14ac:dyDescent="0.3">
      <c r="A13" s="5" t="s">
        <v>60</v>
      </c>
      <c r="B13" s="5" t="s">
        <v>61</v>
      </c>
      <c r="C13" s="5" t="s">
        <v>17</v>
      </c>
      <c r="D13" s="5" t="s">
        <v>62</v>
      </c>
      <c r="E13" s="6">
        <v>46230</v>
      </c>
      <c r="F13" s="5" t="s">
        <v>19</v>
      </c>
      <c r="G13" s="5" t="s">
        <v>25</v>
      </c>
      <c r="H13" s="5" t="s">
        <v>14</v>
      </c>
    </row>
    <row r="14" spans="1:8" x14ac:dyDescent="0.3">
      <c r="A14" s="5" t="s">
        <v>63</v>
      </c>
      <c r="B14" s="5" t="s">
        <v>12</v>
      </c>
      <c r="C14" s="5" t="s">
        <v>64</v>
      </c>
      <c r="D14" s="5" t="s">
        <v>65</v>
      </c>
      <c r="E14" s="6">
        <v>42527</v>
      </c>
      <c r="F14" s="5" t="s">
        <v>66</v>
      </c>
      <c r="G14" s="5" t="s">
        <v>25</v>
      </c>
      <c r="H14" s="5" t="s">
        <v>14</v>
      </c>
    </row>
    <row r="15" spans="1:8" x14ac:dyDescent="0.3">
      <c r="A15" s="5" t="s">
        <v>67</v>
      </c>
      <c r="B15" s="5" t="s">
        <v>68</v>
      </c>
      <c r="C15" s="5" t="s">
        <v>10</v>
      </c>
      <c r="D15" s="5" t="s">
        <v>69</v>
      </c>
      <c r="E15" s="6">
        <v>46273</v>
      </c>
      <c r="F15" s="5" t="s">
        <v>70</v>
      </c>
      <c r="G15" s="5" t="s">
        <v>25</v>
      </c>
      <c r="H15" s="5" t="s">
        <v>20</v>
      </c>
    </row>
    <row r="16" spans="1:8" x14ac:dyDescent="0.3">
      <c r="A16" s="5" t="s">
        <v>71</v>
      </c>
      <c r="B16" s="5" t="s">
        <v>72</v>
      </c>
      <c r="C16" s="5" t="s">
        <v>23</v>
      </c>
      <c r="D16" s="5" t="s">
        <v>73</v>
      </c>
      <c r="E16" s="6">
        <v>46303</v>
      </c>
      <c r="F16" s="5" t="s">
        <v>22</v>
      </c>
      <c r="G16" s="5" t="s">
        <v>25</v>
      </c>
      <c r="H16" s="5" t="s">
        <v>20</v>
      </c>
    </row>
    <row r="17" spans="1:8" x14ac:dyDescent="0.3">
      <c r="A17" s="5" t="s">
        <v>74</v>
      </c>
      <c r="B17" s="5" t="s">
        <v>30</v>
      </c>
      <c r="C17" s="5" t="s">
        <v>28</v>
      </c>
      <c r="D17" s="5" t="s">
        <v>75</v>
      </c>
      <c r="E17" s="6">
        <v>43122</v>
      </c>
      <c r="F17" s="5" t="s">
        <v>12</v>
      </c>
      <c r="G17" s="5" t="s">
        <v>25</v>
      </c>
      <c r="H17" s="5" t="s">
        <v>14</v>
      </c>
    </row>
    <row r="18" spans="1:8" x14ac:dyDescent="0.3">
      <c r="A18" s="5" t="s">
        <v>76</v>
      </c>
      <c r="B18" s="5" t="s">
        <v>77</v>
      </c>
      <c r="C18" s="5" t="s">
        <v>53</v>
      </c>
      <c r="D18" s="5" t="s">
        <v>78</v>
      </c>
      <c r="E18" s="6">
        <v>43917</v>
      </c>
      <c r="F18" s="5" t="s">
        <v>55</v>
      </c>
      <c r="G18" s="5" t="s">
        <v>25</v>
      </c>
      <c r="H18" s="5" t="s">
        <v>14</v>
      </c>
    </row>
    <row r="19" spans="1:8" x14ac:dyDescent="0.3">
      <c r="A19" s="5" t="s">
        <v>79</v>
      </c>
      <c r="B19" s="5" t="s">
        <v>80</v>
      </c>
      <c r="C19" s="5" t="s">
        <v>64</v>
      </c>
      <c r="D19" s="5" t="s">
        <v>81</v>
      </c>
      <c r="E19" s="6">
        <v>46150</v>
      </c>
      <c r="F19" s="5" t="s">
        <v>82</v>
      </c>
      <c r="G19" s="5" t="s">
        <v>25</v>
      </c>
      <c r="H19" s="5" t="s">
        <v>14</v>
      </c>
    </row>
    <row r="20" spans="1:8" x14ac:dyDescent="0.3">
      <c r="A20" s="5" t="s">
        <v>83</v>
      </c>
      <c r="B20" s="5" t="s">
        <v>41</v>
      </c>
      <c r="C20" s="5" t="s">
        <v>39</v>
      </c>
      <c r="D20" s="5" t="s">
        <v>84</v>
      </c>
      <c r="E20" s="6">
        <v>43206</v>
      </c>
      <c r="F20" s="5" t="s">
        <v>12</v>
      </c>
      <c r="G20" s="5" t="s">
        <v>25</v>
      </c>
      <c r="H20" s="5" t="s">
        <v>14</v>
      </c>
    </row>
    <row r="21" spans="1:8" x14ac:dyDescent="0.3">
      <c r="A21" s="5" t="s">
        <v>85</v>
      </c>
      <c r="B21" s="5" t="s">
        <v>86</v>
      </c>
      <c r="C21" s="5" t="s">
        <v>23</v>
      </c>
      <c r="D21" s="5" t="s">
        <v>58</v>
      </c>
      <c r="E21" s="6">
        <v>46286</v>
      </c>
      <c r="F21" s="5" t="s">
        <v>22</v>
      </c>
      <c r="G21" s="5" t="s">
        <v>25</v>
      </c>
      <c r="H21" s="5" t="s">
        <v>20</v>
      </c>
    </row>
    <row r="22" spans="1:8" x14ac:dyDescent="0.3">
      <c r="A22" s="5" t="s">
        <v>87</v>
      </c>
      <c r="B22" s="5" t="s">
        <v>88</v>
      </c>
      <c r="C22" s="5" t="s">
        <v>39</v>
      </c>
      <c r="D22" s="5" t="s">
        <v>40</v>
      </c>
      <c r="E22" s="6">
        <v>44617</v>
      </c>
      <c r="F22" s="5" t="s">
        <v>41</v>
      </c>
      <c r="G22" s="5" t="s">
        <v>25</v>
      </c>
      <c r="H22" s="5" t="s">
        <v>14</v>
      </c>
    </row>
    <row r="23" spans="1:8" x14ac:dyDescent="0.3">
      <c r="A23" s="5" t="s">
        <v>89</v>
      </c>
      <c r="B23" s="5" t="s">
        <v>90</v>
      </c>
      <c r="C23" s="5" t="s">
        <v>23</v>
      </c>
      <c r="D23" s="5" t="s">
        <v>73</v>
      </c>
      <c r="E23" s="6">
        <v>45229</v>
      </c>
      <c r="F23" s="5" t="s">
        <v>22</v>
      </c>
      <c r="G23" s="5" t="s">
        <v>25</v>
      </c>
      <c r="H23" s="5" t="s">
        <v>14</v>
      </c>
    </row>
    <row r="24" spans="1:8" x14ac:dyDescent="0.3">
      <c r="A24" s="5" t="s">
        <v>91</v>
      </c>
      <c r="B24" s="5" t="s">
        <v>92</v>
      </c>
      <c r="C24" s="5" t="s">
        <v>53</v>
      </c>
      <c r="D24" s="5" t="s">
        <v>93</v>
      </c>
      <c r="E24" s="6">
        <v>44578</v>
      </c>
      <c r="F24" s="5" t="s">
        <v>55</v>
      </c>
      <c r="G24" s="5" t="s">
        <v>13</v>
      </c>
      <c r="H24" s="5" t="s">
        <v>14</v>
      </c>
    </row>
    <row r="25" spans="1:8" x14ac:dyDescent="0.3">
      <c r="A25" s="5" t="s">
        <v>94</v>
      </c>
      <c r="B25" s="5" t="s">
        <v>45</v>
      </c>
      <c r="C25" s="5" t="s">
        <v>33</v>
      </c>
      <c r="D25" s="5" t="s">
        <v>95</v>
      </c>
      <c r="E25" s="6">
        <v>42982</v>
      </c>
      <c r="F25" s="5" t="s">
        <v>12</v>
      </c>
      <c r="G25" s="5" t="s">
        <v>25</v>
      </c>
      <c r="H25" s="5" t="s">
        <v>14</v>
      </c>
    </row>
    <row r="26" spans="1:8" x14ac:dyDescent="0.3">
      <c r="A26" s="5" t="s">
        <v>96</v>
      </c>
      <c r="B26" s="5" t="s">
        <v>97</v>
      </c>
      <c r="C26" s="5" t="s">
        <v>17</v>
      </c>
      <c r="D26" s="5" t="s">
        <v>98</v>
      </c>
      <c r="E26" s="6">
        <v>46308</v>
      </c>
      <c r="F26" s="5" t="s">
        <v>19</v>
      </c>
      <c r="G26" s="5" t="s">
        <v>13</v>
      </c>
      <c r="H26" s="5" t="s">
        <v>20</v>
      </c>
    </row>
    <row r="27" spans="1:8" x14ac:dyDescent="0.3">
      <c r="A27" s="5" t="s">
        <v>99</v>
      </c>
      <c r="B27" s="5" t="s">
        <v>100</v>
      </c>
      <c r="C27" s="5" t="s">
        <v>33</v>
      </c>
      <c r="D27" s="5" t="s">
        <v>101</v>
      </c>
      <c r="E27" s="6">
        <v>44943</v>
      </c>
      <c r="F27" s="5" t="s">
        <v>35</v>
      </c>
      <c r="G27" s="5" t="s">
        <v>36</v>
      </c>
      <c r="H27" s="5" t="s">
        <v>14</v>
      </c>
    </row>
    <row r="28" spans="1:8" x14ac:dyDescent="0.3">
      <c r="A28" s="5" t="s">
        <v>102</v>
      </c>
      <c r="B28" s="5" t="s">
        <v>103</v>
      </c>
      <c r="C28" s="5" t="s">
        <v>33</v>
      </c>
      <c r="D28" s="5" t="s">
        <v>104</v>
      </c>
      <c r="E28" s="6">
        <v>44599</v>
      </c>
      <c r="F28" s="5" t="s">
        <v>35</v>
      </c>
      <c r="G28" s="5" t="s">
        <v>25</v>
      </c>
      <c r="H28" s="5" t="s">
        <v>14</v>
      </c>
    </row>
    <row r="29" spans="1:8" x14ac:dyDescent="0.3">
      <c r="A29" s="5" t="s">
        <v>105</v>
      </c>
      <c r="B29" s="5" t="s">
        <v>106</v>
      </c>
      <c r="C29" s="5" t="s">
        <v>33</v>
      </c>
      <c r="D29" s="5" t="s">
        <v>104</v>
      </c>
      <c r="E29" s="6">
        <v>46281</v>
      </c>
      <c r="F29" s="5" t="s">
        <v>35</v>
      </c>
      <c r="G29" s="5" t="s">
        <v>36</v>
      </c>
      <c r="H29" s="5" t="s">
        <v>20</v>
      </c>
    </row>
    <row r="30" spans="1:8" x14ac:dyDescent="0.3">
      <c r="A30" s="5" t="s">
        <v>107</v>
      </c>
      <c r="B30" s="5" t="s">
        <v>108</v>
      </c>
      <c r="C30" s="5" t="s">
        <v>39</v>
      </c>
      <c r="D30" s="5" t="s">
        <v>109</v>
      </c>
      <c r="E30" s="6">
        <v>46294</v>
      </c>
      <c r="F30" s="5" t="s">
        <v>41</v>
      </c>
      <c r="G30" s="5" t="s">
        <v>25</v>
      </c>
      <c r="H30" s="5" t="s">
        <v>20</v>
      </c>
    </row>
    <row r="31" spans="1:8" x14ac:dyDescent="0.3">
      <c r="A31" s="5" t="s">
        <v>110</v>
      </c>
      <c r="B31" s="5" t="s">
        <v>111</v>
      </c>
      <c r="C31" s="5" t="s">
        <v>64</v>
      </c>
      <c r="D31" s="5" t="s">
        <v>81</v>
      </c>
      <c r="E31" s="6">
        <v>46300</v>
      </c>
      <c r="F31" s="5" t="s">
        <v>82</v>
      </c>
      <c r="G31" s="5" t="s">
        <v>25</v>
      </c>
      <c r="H31" s="5" t="s">
        <v>20</v>
      </c>
    </row>
    <row r="32" spans="1:8" x14ac:dyDescent="0.3">
      <c r="A32" s="5" t="s">
        <v>112</v>
      </c>
      <c r="B32" s="5" t="s">
        <v>113</v>
      </c>
      <c r="C32" s="5" t="s">
        <v>53</v>
      </c>
      <c r="D32" s="5" t="s">
        <v>54</v>
      </c>
      <c r="E32" s="6">
        <v>46279</v>
      </c>
      <c r="F32" s="5" t="s">
        <v>92</v>
      </c>
      <c r="G32" s="5" t="s">
        <v>13</v>
      </c>
      <c r="H32" s="5" t="s">
        <v>20</v>
      </c>
    </row>
    <row r="33" spans="1:8" x14ac:dyDescent="0.3">
      <c r="A33" s="5" t="s">
        <v>114</v>
      </c>
      <c r="B33" s="5" t="s">
        <v>115</v>
      </c>
      <c r="C33" s="5" t="s">
        <v>10</v>
      </c>
      <c r="D33" s="5" t="s">
        <v>116</v>
      </c>
      <c r="E33" s="6">
        <v>46266</v>
      </c>
      <c r="F33" s="5" t="s">
        <v>9</v>
      </c>
      <c r="G33" s="5" t="s">
        <v>13</v>
      </c>
      <c r="H33" s="5" t="s">
        <v>14</v>
      </c>
    </row>
    <row r="34" spans="1:8" x14ac:dyDescent="0.3">
      <c r="A34" s="5" t="s">
        <v>117</v>
      </c>
      <c r="B34" s="5" t="s">
        <v>82</v>
      </c>
      <c r="C34" s="5" t="s">
        <v>64</v>
      </c>
      <c r="D34" s="5" t="s">
        <v>118</v>
      </c>
      <c r="E34" s="6">
        <v>42779</v>
      </c>
      <c r="F34" s="5" t="s">
        <v>12</v>
      </c>
      <c r="G34" s="5" t="s">
        <v>25</v>
      </c>
      <c r="H34" s="5" t="s">
        <v>14</v>
      </c>
    </row>
    <row r="35" spans="1:8" x14ac:dyDescent="0.3">
      <c r="A35" s="5" t="s">
        <v>119</v>
      </c>
      <c r="B35" s="5" t="s">
        <v>120</v>
      </c>
      <c r="C35" s="5" t="s">
        <v>28</v>
      </c>
      <c r="D35" s="5" t="s">
        <v>50</v>
      </c>
      <c r="E35" s="6">
        <v>44075</v>
      </c>
      <c r="F35" s="5" t="s">
        <v>30</v>
      </c>
      <c r="G35" s="5" t="s">
        <v>25</v>
      </c>
      <c r="H35" s="5" t="s">
        <v>14</v>
      </c>
    </row>
    <row r="36" spans="1:8" x14ac:dyDescent="0.3">
      <c r="A36" s="5" t="s">
        <v>121</v>
      </c>
      <c r="B36" s="5" t="s">
        <v>122</v>
      </c>
      <c r="C36" s="5" t="s">
        <v>10</v>
      </c>
      <c r="D36" s="5" t="s">
        <v>116</v>
      </c>
      <c r="E36" s="6">
        <v>46300</v>
      </c>
      <c r="F36" s="5" t="s">
        <v>70</v>
      </c>
      <c r="G36" s="5" t="s">
        <v>25</v>
      </c>
      <c r="H36" s="5" t="s">
        <v>20</v>
      </c>
    </row>
    <row r="37" spans="1:8" x14ac:dyDescent="0.3">
      <c r="A37" s="5" t="s">
        <v>123</v>
      </c>
      <c r="B37" s="5" t="s">
        <v>124</v>
      </c>
      <c r="C37" s="5" t="s">
        <v>10</v>
      </c>
      <c r="D37" s="5" t="s">
        <v>125</v>
      </c>
      <c r="E37" s="6">
        <v>44694</v>
      </c>
      <c r="F37" s="5" t="s">
        <v>70</v>
      </c>
      <c r="G37" s="5" t="s">
        <v>25</v>
      </c>
      <c r="H37" s="5" t="s">
        <v>14</v>
      </c>
    </row>
    <row r="38" spans="1:8" x14ac:dyDescent="0.3">
      <c r="A38" s="5" t="s">
        <v>126</v>
      </c>
      <c r="B38" s="5" t="s">
        <v>127</v>
      </c>
      <c r="C38" s="5" t="s">
        <v>10</v>
      </c>
      <c r="D38" s="5" t="s">
        <v>125</v>
      </c>
      <c r="E38" s="6">
        <v>46237</v>
      </c>
      <c r="F38" s="5" t="s">
        <v>9</v>
      </c>
      <c r="G38" s="5" t="s">
        <v>13</v>
      </c>
      <c r="H38" s="5" t="s">
        <v>14</v>
      </c>
    </row>
    <row r="39" spans="1:8" x14ac:dyDescent="0.3">
      <c r="A39" s="5" t="s">
        <v>128</v>
      </c>
      <c r="B39" s="5" t="s">
        <v>35</v>
      </c>
      <c r="C39" s="5" t="s">
        <v>33</v>
      </c>
      <c r="D39" s="5" t="s">
        <v>129</v>
      </c>
      <c r="E39" s="6">
        <v>44361</v>
      </c>
      <c r="F39" s="5" t="s">
        <v>45</v>
      </c>
      <c r="G39" s="5" t="s">
        <v>36</v>
      </c>
      <c r="H39" s="5" t="s">
        <v>14</v>
      </c>
    </row>
    <row r="40" spans="1:8" x14ac:dyDescent="0.3">
      <c r="A40" s="5" t="s">
        <v>130</v>
      </c>
      <c r="B40" s="5" t="s">
        <v>131</v>
      </c>
      <c r="C40" s="5" t="s">
        <v>53</v>
      </c>
      <c r="D40" s="5" t="s">
        <v>78</v>
      </c>
      <c r="E40" s="6">
        <v>46300</v>
      </c>
      <c r="F40" s="5" t="s">
        <v>92</v>
      </c>
      <c r="G40" s="5" t="s">
        <v>25</v>
      </c>
      <c r="H40" s="5" t="s">
        <v>20</v>
      </c>
    </row>
    <row r="41" spans="1:8" x14ac:dyDescent="0.3">
      <c r="A41" s="5" t="s">
        <v>132</v>
      </c>
      <c r="B41" s="5" t="s">
        <v>133</v>
      </c>
      <c r="C41" s="5" t="s">
        <v>23</v>
      </c>
      <c r="D41" s="5" t="s">
        <v>73</v>
      </c>
      <c r="E41" s="6">
        <v>46272</v>
      </c>
      <c r="F41" s="5" t="s">
        <v>22</v>
      </c>
      <c r="G41" s="5" t="s">
        <v>25</v>
      </c>
      <c r="H41" s="5" t="s">
        <v>20</v>
      </c>
    </row>
    <row r="42" spans="1:8" x14ac:dyDescent="0.3">
      <c r="A42" s="5" t="s">
        <v>134</v>
      </c>
      <c r="B42" s="5" t="s">
        <v>55</v>
      </c>
      <c r="C42" s="5" t="s">
        <v>53</v>
      </c>
      <c r="D42" s="5" t="s">
        <v>135</v>
      </c>
      <c r="E42" s="6">
        <v>43409</v>
      </c>
      <c r="F42" s="5" t="s">
        <v>12</v>
      </c>
      <c r="G42" s="5" t="s">
        <v>25</v>
      </c>
      <c r="H42" s="5" t="s">
        <v>14</v>
      </c>
    </row>
    <row r="43" spans="1:8" x14ac:dyDescent="0.3">
      <c r="A43" s="5" t="s">
        <v>136</v>
      </c>
      <c r="B43" s="5" t="s">
        <v>137</v>
      </c>
      <c r="C43" s="5" t="s">
        <v>28</v>
      </c>
      <c r="D43" s="5" t="s">
        <v>138</v>
      </c>
      <c r="E43" s="6">
        <v>46266</v>
      </c>
      <c r="F43" s="5" t="s">
        <v>30</v>
      </c>
      <c r="G43" s="5" t="s">
        <v>25</v>
      </c>
      <c r="H43" s="5" t="s">
        <v>14</v>
      </c>
    </row>
    <row r="44" spans="1:8" x14ac:dyDescent="0.3">
      <c r="A44" s="5" t="s">
        <v>139</v>
      </c>
      <c r="B44" s="5" t="s">
        <v>140</v>
      </c>
      <c r="C44" s="5" t="s">
        <v>23</v>
      </c>
      <c r="D44" s="5" t="s">
        <v>58</v>
      </c>
      <c r="E44" s="6">
        <v>45868</v>
      </c>
      <c r="F44" s="5" t="s">
        <v>22</v>
      </c>
      <c r="G44" s="5" t="s">
        <v>25</v>
      </c>
      <c r="H44" s="5" t="s">
        <v>14</v>
      </c>
    </row>
    <row r="45" spans="1:8" x14ac:dyDescent="0.3">
      <c r="A45" s="5" t="s">
        <v>141</v>
      </c>
      <c r="B45" s="5" t="s">
        <v>142</v>
      </c>
      <c r="C45" s="5" t="s">
        <v>28</v>
      </c>
      <c r="D45" s="5" t="s">
        <v>50</v>
      </c>
      <c r="E45" s="6">
        <v>45628</v>
      </c>
      <c r="F45" s="5" t="s">
        <v>30</v>
      </c>
      <c r="G45" s="5" t="s">
        <v>25</v>
      </c>
      <c r="H45" s="5" t="s">
        <v>14</v>
      </c>
    </row>
    <row r="46" spans="1:8" x14ac:dyDescent="0.3">
      <c r="A46" s="5" t="s">
        <v>143</v>
      </c>
      <c r="B46" s="5" t="s">
        <v>70</v>
      </c>
      <c r="C46" s="5" t="s">
        <v>10</v>
      </c>
      <c r="D46" s="5" t="s">
        <v>144</v>
      </c>
      <c r="E46" s="6">
        <v>44473</v>
      </c>
      <c r="F46" s="5" t="s">
        <v>9</v>
      </c>
      <c r="G46" s="5" t="s">
        <v>25</v>
      </c>
      <c r="H46" s="5" t="s">
        <v>14</v>
      </c>
    </row>
    <row r="47" spans="1:8" x14ac:dyDescent="0.3">
      <c r="A47" s="5" t="s">
        <v>145</v>
      </c>
      <c r="B47" s="5" t="s">
        <v>146</v>
      </c>
      <c r="C47" s="5" t="s">
        <v>39</v>
      </c>
      <c r="D47" s="5" t="s">
        <v>109</v>
      </c>
      <c r="E47" s="6">
        <v>44628</v>
      </c>
      <c r="F47" s="5" t="s">
        <v>41</v>
      </c>
      <c r="G47" s="5" t="s">
        <v>25</v>
      </c>
      <c r="H47" s="5" t="s">
        <v>59</v>
      </c>
    </row>
    <row r="48" spans="1:8" x14ac:dyDescent="0.3">
      <c r="A48" s="5" t="s">
        <v>147</v>
      </c>
      <c r="B48" s="5" t="s">
        <v>148</v>
      </c>
      <c r="C48" s="5" t="s">
        <v>33</v>
      </c>
      <c r="D48" s="5" t="s">
        <v>34</v>
      </c>
      <c r="E48" s="6">
        <v>46279</v>
      </c>
      <c r="F48" s="5" t="s">
        <v>45</v>
      </c>
      <c r="G48" s="5" t="s">
        <v>25</v>
      </c>
      <c r="H48" s="5" t="s">
        <v>20</v>
      </c>
    </row>
    <row r="49" spans="1:8" x14ac:dyDescent="0.3">
      <c r="A49" s="5" t="s">
        <v>149</v>
      </c>
      <c r="B49" s="5" t="s">
        <v>150</v>
      </c>
      <c r="C49" s="5" t="s">
        <v>53</v>
      </c>
      <c r="D49" s="5" t="s">
        <v>54</v>
      </c>
      <c r="E49" s="6">
        <v>46286</v>
      </c>
      <c r="F49" s="5" t="s">
        <v>92</v>
      </c>
      <c r="G49" s="5" t="s">
        <v>13</v>
      </c>
      <c r="H49" s="5" t="s">
        <v>20</v>
      </c>
    </row>
    <row r="50" spans="1:8" x14ac:dyDescent="0.3">
      <c r="A50" s="5" t="s">
        <v>151</v>
      </c>
      <c r="B50" s="5" t="s">
        <v>152</v>
      </c>
      <c r="C50" s="5" t="s">
        <v>33</v>
      </c>
      <c r="D50" s="5" t="s">
        <v>101</v>
      </c>
      <c r="E50" s="6">
        <v>46307</v>
      </c>
      <c r="F50" s="5" t="s">
        <v>35</v>
      </c>
      <c r="G50" s="5" t="s">
        <v>36</v>
      </c>
      <c r="H50" s="5" t="s">
        <v>20</v>
      </c>
    </row>
    <row r="51" spans="1:8" x14ac:dyDescent="0.3">
      <c r="A51" s="5" t="s">
        <v>153</v>
      </c>
      <c r="B51" s="5" t="s">
        <v>154</v>
      </c>
      <c r="C51" s="5" t="s">
        <v>53</v>
      </c>
      <c r="D51" s="5" t="s">
        <v>155</v>
      </c>
      <c r="E51" s="6">
        <v>45866</v>
      </c>
      <c r="F51" s="5" t="s">
        <v>92</v>
      </c>
      <c r="G51" s="5" t="s">
        <v>25</v>
      </c>
      <c r="H51" s="5" t="s">
        <v>14</v>
      </c>
    </row>
  </sheetData>
  <conditionalFormatting sqref="H2:H200">
    <cfRule type="expression" dxfId="18" priority="3">
      <formula>$H2="Onboarding"</formula>
    </cfRule>
    <cfRule type="expression" dxfId="17" priority="4">
      <formula>$H2="Notice Period"</formula>
    </cfRule>
  </conditionalFormatting>
  <conditionalFormatting sqref="A2:A200">
    <cfRule type="expression" dxfId="0" priority="9">
      <formula>AND($A2&lt;&gt;"",COUNTIF($A$2:$A$200,$A2)&gt;1)</formula>
    </cfRule>
  </conditionalFormatting>
  <dataValidations count="3">
    <dataValidation type="list" allowBlank="1" showErrorMessage="1" errorTitle="Department" error="Pick a department from the list." sqref="C2:C51 C52:C200">
      <formula1>lstDepartment</formula1>
      <formula2>0</formula2>
    </dataValidation>
    <dataValidation type="list" allowBlank="1" showErrorMessage="1" errorTitle="Work Location" error="Pick a location from the list." sqref="G2:G51 G52:G200">
      <formula1>lstLocation</formula1>
      <formula2>0</formula2>
    </dataValidation>
    <dataValidation type="list" allowBlank="1" showErrorMessage="1" errorTitle="Employment Status" error="Pick a status from the list." sqref="H2:H51 H52:H200">
      <formula1>lstEmpStatus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7"/>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0" customWidth="1"/>
    <col min="2" max="2" width="12" customWidth="1"/>
    <col min="3" max="4" width="22" customWidth="1"/>
    <col min="5" max="5" width="34" customWidth="1"/>
    <col min="6" max="6" width="18" customWidth="1"/>
    <col min="7" max="7" width="13" customWidth="1"/>
    <col min="8" max="8" width="15" customWidth="1"/>
    <col min="9" max="9" width="12" customWidth="1"/>
    <col min="10" max="10" width="9" customWidth="1"/>
    <col min="11" max="11" width="13" customWidth="1"/>
    <col min="12" max="12" width="10" customWidth="1"/>
    <col min="13" max="13" width="52" customWidth="1"/>
  </cols>
  <sheetData>
    <row r="1" spans="1:13" ht="25.5" customHeight="1" x14ac:dyDescent="0.3">
      <c r="A1" s="4" t="s">
        <v>156</v>
      </c>
      <c r="B1" s="4" t="s">
        <v>0</v>
      </c>
      <c r="C1" s="7" t="s">
        <v>1</v>
      </c>
      <c r="D1" s="7" t="s">
        <v>2</v>
      </c>
      <c r="E1" s="4" t="s">
        <v>157</v>
      </c>
      <c r="F1" s="4" t="s">
        <v>158</v>
      </c>
      <c r="G1" s="4" t="s">
        <v>159</v>
      </c>
      <c r="H1" s="4" t="s">
        <v>160</v>
      </c>
      <c r="I1" s="4" t="s">
        <v>161</v>
      </c>
      <c r="J1" s="7" t="s">
        <v>162</v>
      </c>
      <c r="K1" s="7" t="s">
        <v>163</v>
      </c>
      <c r="L1" s="7" t="s">
        <v>164</v>
      </c>
      <c r="M1" s="4" t="s">
        <v>165</v>
      </c>
    </row>
    <row r="2" spans="1:13" x14ac:dyDescent="0.3">
      <c r="A2" s="5" t="s">
        <v>166</v>
      </c>
      <c r="B2" s="5" t="s">
        <v>132</v>
      </c>
      <c r="C2" s="5" t="str">
        <f>IFERROR(INDEX(tblEmployees[Employee Name],MATCH(tblOnboarding[[#This Row],[Employee ID]],tblEmployees[Employee ID],0)),"ID not found")</f>
        <v>Siddharth Agarwal</v>
      </c>
      <c r="D2" s="5" t="str">
        <f>IFERROR(INDEX(tblEmployees[Department],MATCH(tblOnboarding[[#This Row],[Employee ID]],tblEmployees[Employee ID],0)),"")</f>
        <v>Information Technology</v>
      </c>
      <c r="E2" s="5" t="s">
        <v>167</v>
      </c>
      <c r="F2" s="5" t="s">
        <v>168</v>
      </c>
      <c r="G2" s="6">
        <v>46273</v>
      </c>
      <c r="H2" s="6">
        <v>46279</v>
      </c>
      <c r="I2" s="8" t="s">
        <v>169</v>
      </c>
      <c r="J2" s="8" t="str">
        <f>IF(OR(tblOnboarding[[#This Row],[Status]]="Completed",tblOnboarding[[#This Row],[Due Date]]=""),"No",IF(tblOnboarding[[#This Row],[Due Date]]&lt;ReportDate,"Yes","No"))</f>
        <v>No</v>
      </c>
      <c r="K2" s="9" t="str">
        <f>IF(tblOnboarding[[#This Row],[Overdue]]="Yes",ReportDate-tblOnboarding[[#This Row],[Due Date]],"")</f>
        <v/>
      </c>
      <c r="L2" s="8" t="str">
        <f>IF(OR(tblOnboarding[[#This Row],[Status]]="Completed",tblOnboarding[[#This Row],[Due Date]]=""),"No",IF(AND(tblOnboarding[[#This Row],[Due Date]]&gt;=ReportDate,tblOnboarding[[#This Row],[Due Date]]&lt;=ReportDate+DueSoonDays),"Yes","No"))</f>
        <v>No</v>
      </c>
      <c r="M2" s="5" t="s">
        <v>170</v>
      </c>
    </row>
    <row r="3" spans="1:13" x14ac:dyDescent="0.3">
      <c r="A3" s="5" t="s">
        <v>171</v>
      </c>
      <c r="B3" s="5" t="s">
        <v>132</v>
      </c>
      <c r="C3" s="5" t="str">
        <f>IFERROR(INDEX(tblEmployees[Employee Name],MATCH(tblOnboarding[[#This Row],[Employee ID]],tblEmployees[Employee ID],0)),"ID not found")</f>
        <v>Siddharth Agarwal</v>
      </c>
      <c r="D3" s="5" t="str">
        <f>IFERROR(INDEX(tblEmployees[Department],MATCH(tblOnboarding[[#This Row],[Employee ID]],tblEmployees[Employee ID],0)),"")</f>
        <v>Information Technology</v>
      </c>
      <c r="E3" s="5" t="s">
        <v>172</v>
      </c>
      <c r="F3" s="5" t="s">
        <v>168</v>
      </c>
      <c r="G3" s="6">
        <v>46274</v>
      </c>
      <c r="H3" s="6">
        <v>46274</v>
      </c>
      <c r="I3" s="8" t="s">
        <v>169</v>
      </c>
      <c r="J3" s="8" t="str">
        <f>IF(OR(tblOnboarding[[#This Row],[Status]]="Completed",tblOnboarding[[#This Row],[Due Date]]=""),"No",IF(tblOnboarding[[#This Row],[Due Date]]&lt;ReportDate,"Yes","No"))</f>
        <v>No</v>
      </c>
      <c r="K3" s="9" t="str">
        <f>IF(tblOnboarding[[#This Row],[Overdue]]="Yes",ReportDate-tblOnboarding[[#This Row],[Due Date]],"")</f>
        <v/>
      </c>
      <c r="L3" s="8" t="str">
        <f>IF(OR(tblOnboarding[[#This Row],[Status]]="Completed",tblOnboarding[[#This Row],[Due Date]]=""),"No",IF(AND(tblOnboarding[[#This Row],[Due Date]]&gt;=ReportDate,tblOnboarding[[#This Row],[Due Date]]&lt;=ReportDate+DueSoonDays),"Yes","No"))</f>
        <v>No</v>
      </c>
      <c r="M3" s="5"/>
    </row>
    <row r="4" spans="1:13" x14ac:dyDescent="0.3">
      <c r="A4" s="5" t="s">
        <v>173</v>
      </c>
      <c r="B4" s="5" t="s">
        <v>132</v>
      </c>
      <c r="C4" s="5" t="str">
        <f>IFERROR(INDEX(tblEmployees[Employee Name],MATCH(tblOnboarding[[#This Row],[Employee ID]],tblEmployees[Employee ID],0)),"ID not found")</f>
        <v>Siddharth Agarwal</v>
      </c>
      <c r="D4" s="5" t="str">
        <f>IFERROR(INDEX(tblEmployees[Department],MATCH(tblOnboarding[[#This Row],[Employee ID]],tblEmployees[Employee ID],0)),"")</f>
        <v>Information Technology</v>
      </c>
      <c r="E4" s="5" t="s">
        <v>174</v>
      </c>
      <c r="F4" s="5" t="s">
        <v>175</v>
      </c>
      <c r="G4" s="6">
        <v>46273</v>
      </c>
      <c r="H4" s="6">
        <v>46279</v>
      </c>
      <c r="I4" s="8" t="s">
        <v>169</v>
      </c>
      <c r="J4" s="8" t="str">
        <f>IF(OR(tblOnboarding[[#This Row],[Status]]="Completed",tblOnboarding[[#This Row],[Due Date]]=""),"No",IF(tblOnboarding[[#This Row],[Due Date]]&lt;ReportDate,"Yes","No"))</f>
        <v>No</v>
      </c>
      <c r="K4" s="9" t="str">
        <f>IF(tblOnboarding[[#This Row],[Overdue]]="Yes",ReportDate-tblOnboarding[[#This Row],[Due Date]],"")</f>
        <v/>
      </c>
      <c r="L4" s="8" t="str">
        <f>IF(OR(tblOnboarding[[#This Row],[Status]]="Completed",tblOnboarding[[#This Row],[Due Date]]=""),"No",IF(AND(tblOnboarding[[#This Row],[Due Date]]&gt;=ReportDate,tblOnboarding[[#This Row],[Due Date]]&lt;=ReportDate+DueSoonDays),"Yes","No"))</f>
        <v>No</v>
      </c>
      <c r="M4" s="5"/>
    </row>
    <row r="5" spans="1:13" x14ac:dyDescent="0.3">
      <c r="A5" s="5" t="s">
        <v>176</v>
      </c>
      <c r="B5" s="5" t="s">
        <v>132</v>
      </c>
      <c r="C5" s="5" t="str">
        <f>IFERROR(INDEX(tblEmployees[Employee Name],MATCH(tblOnboarding[[#This Row],[Employee ID]],tblEmployees[Employee ID],0)),"ID not found")</f>
        <v>Siddharth Agarwal</v>
      </c>
      <c r="D5" s="5" t="str">
        <f>IFERROR(INDEX(tblEmployees[Department],MATCH(tblOnboarding[[#This Row],[Employee ID]],tblEmployees[Employee ID],0)),"")</f>
        <v>Information Technology</v>
      </c>
      <c r="E5" s="5" t="s">
        <v>177</v>
      </c>
      <c r="F5" s="5" t="s">
        <v>168</v>
      </c>
      <c r="G5" s="6">
        <v>46275</v>
      </c>
      <c r="H5" s="6">
        <v>46275</v>
      </c>
      <c r="I5" s="8" t="s">
        <v>169</v>
      </c>
      <c r="J5" s="8" t="str">
        <f>IF(OR(tblOnboarding[[#This Row],[Status]]="Completed",tblOnboarding[[#This Row],[Due Date]]=""),"No",IF(tblOnboarding[[#This Row],[Due Date]]&lt;ReportDate,"Yes","No"))</f>
        <v>No</v>
      </c>
      <c r="K5" s="9" t="str">
        <f>IF(tblOnboarding[[#This Row],[Overdue]]="Yes",ReportDate-tblOnboarding[[#This Row],[Due Date]],"")</f>
        <v/>
      </c>
      <c r="L5" s="8" t="str">
        <f>IF(OR(tblOnboarding[[#This Row],[Status]]="Completed",tblOnboarding[[#This Row],[Due Date]]=""),"No",IF(AND(tblOnboarding[[#This Row],[Due Date]]&gt;=ReportDate,tblOnboarding[[#This Row],[Due Date]]&lt;=ReportDate+DueSoonDays),"Yes","No"))</f>
        <v>No</v>
      </c>
      <c r="M5" s="5"/>
    </row>
    <row r="6" spans="1:13" x14ac:dyDescent="0.3">
      <c r="A6" s="5" t="s">
        <v>178</v>
      </c>
      <c r="B6" s="5" t="s">
        <v>132</v>
      </c>
      <c r="C6" s="5" t="str">
        <f>IFERROR(INDEX(tblEmployees[Employee Name],MATCH(tblOnboarding[[#This Row],[Employee ID]],tblEmployees[Employee ID],0)),"ID not found")</f>
        <v>Siddharth Agarwal</v>
      </c>
      <c r="D6" s="5" t="str">
        <f>IFERROR(INDEX(tblEmployees[Department],MATCH(tblOnboarding[[#This Row],[Employee ID]],tblEmployees[Employee ID],0)),"")</f>
        <v>Information Technology</v>
      </c>
      <c r="E6" s="5" t="s">
        <v>179</v>
      </c>
      <c r="F6" s="5" t="s">
        <v>168</v>
      </c>
      <c r="G6" s="6">
        <v>46274</v>
      </c>
      <c r="H6" s="6">
        <v>46275</v>
      </c>
      <c r="I6" s="8" t="s">
        <v>169</v>
      </c>
      <c r="J6" s="8" t="str">
        <f>IF(OR(tblOnboarding[[#This Row],[Status]]="Completed",tblOnboarding[[#This Row],[Due Date]]=""),"No",IF(tblOnboarding[[#This Row],[Due Date]]&lt;ReportDate,"Yes","No"))</f>
        <v>No</v>
      </c>
      <c r="K6" s="9" t="str">
        <f>IF(tblOnboarding[[#This Row],[Overdue]]="Yes",ReportDate-tblOnboarding[[#This Row],[Due Date]],"")</f>
        <v/>
      </c>
      <c r="L6" s="8" t="str">
        <f>IF(OR(tblOnboarding[[#This Row],[Status]]="Completed",tblOnboarding[[#This Row],[Due Date]]=""),"No",IF(AND(tblOnboarding[[#This Row],[Due Date]]&gt;=ReportDate,tblOnboarding[[#This Row],[Due Date]]&lt;=ReportDate+DueSoonDays),"Yes","No"))</f>
        <v>No</v>
      </c>
      <c r="M6" s="5"/>
    </row>
    <row r="7" spans="1:13" x14ac:dyDescent="0.3">
      <c r="A7" s="5" t="s">
        <v>180</v>
      </c>
      <c r="B7" s="5" t="s">
        <v>132</v>
      </c>
      <c r="C7" s="5" t="str">
        <f>IFERROR(INDEX(tblEmployees[Employee Name],MATCH(tblOnboarding[[#This Row],[Employee ID]],tblEmployees[Employee ID],0)),"ID not found")</f>
        <v>Siddharth Agarwal</v>
      </c>
      <c r="D7" s="5" t="str">
        <f>IFERROR(INDEX(tblEmployees[Department],MATCH(tblOnboarding[[#This Row],[Employee ID]],tblEmployees[Employee ID],0)),"")</f>
        <v>Information Technology</v>
      </c>
      <c r="E7" s="5" t="s">
        <v>181</v>
      </c>
      <c r="F7" s="5" t="s">
        <v>182</v>
      </c>
      <c r="G7" s="6">
        <v>46279</v>
      </c>
      <c r="H7" s="6">
        <v>46282</v>
      </c>
      <c r="I7" s="8" t="s">
        <v>169</v>
      </c>
      <c r="J7" s="8" t="str">
        <f>IF(OR(tblOnboarding[[#This Row],[Status]]="Completed",tblOnboarding[[#This Row],[Due Date]]=""),"No",IF(tblOnboarding[[#This Row],[Due Date]]&lt;ReportDate,"Yes","No"))</f>
        <v>No</v>
      </c>
      <c r="K7" s="9" t="str">
        <f>IF(tblOnboarding[[#This Row],[Overdue]]="Yes",ReportDate-tblOnboarding[[#This Row],[Due Date]],"")</f>
        <v/>
      </c>
      <c r="L7" s="8" t="str">
        <f>IF(OR(tblOnboarding[[#This Row],[Status]]="Completed",tblOnboarding[[#This Row],[Due Date]]=""),"No",IF(AND(tblOnboarding[[#This Row],[Due Date]]&gt;=ReportDate,tblOnboarding[[#This Row],[Due Date]]&lt;=ReportDate+DueSoonDays),"Yes","No"))</f>
        <v>No</v>
      </c>
      <c r="M7" s="5"/>
    </row>
    <row r="8" spans="1:13" x14ac:dyDescent="0.3">
      <c r="A8" s="5" t="s">
        <v>183</v>
      </c>
      <c r="B8" s="5" t="s">
        <v>132</v>
      </c>
      <c r="C8" s="5" t="str">
        <f>IFERROR(INDEX(tblEmployees[Employee Name],MATCH(tblOnboarding[[#This Row],[Employee ID]],tblEmployees[Employee ID],0)),"ID not found")</f>
        <v>Siddharth Agarwal</v>
      </c>
      <c r="D8" s="5" t="str">
        <f>IFERROR(INDEX(tblEmployees[Department],MATCH(tblOnboarding[[#This Row],[Employee ID]],tblEmployees[Employee ID],0)),"")</f>
        <v>Information Technology</v>
      </c>
      <c r="E8" s="5" t="s">
        <v>184</v>
      </c>
      <c r="F8" s="5" t="s">
        <v>5</v>
      </c>
      <c r="G8" s="6">
        <v>46279</v>
      </c>
      <c r="H8" s="6">
        <v>46282</v>
      </c>
      <c r="I8" s="8" t="s">
        <v>169</v>
      </c>
      <c r="J8" s="8" t="str">
        <f>IF(OR(tblOnboarding[[#This Row],[Status]]="Completed",tblOnboarding[[#This Row],[Due Date]]=""),"No",IF(tblOnboarding[[#This Row],[Due Date]]&lt;ReportDate,"Yes","No"))</f>
        <v>No</v>
      </c>
      <c r="K8" s="9" t="str">
        <f>IF(tblOnboarding[[#This Row],[Overdue]]="Yes",ReportDate-tblOnboarding[[#This Row],[Due Date]],"")</f>
        <v/>
      </c>
      <c r="L8" s="8" t="str">
        <f>IF(OR(tblOnboarding[[#This Row],[Status]]="Completed",tblOnboarding[[#This Row],[Due Date]]=""),"No",IF(AND(tblOnboarding[[#This Row],[Due Date]]&gt;=ReportDate,tblOnboarding[[#This Row],[Due Date]]&lt;=ReportDate+DueSoonDays),"Yes","No"))</f>
        <v>No</v>
      </c>
      <c r="M8" s="5"/>
    </row>
    <row r="9" spans="1:13" x14ac:dyDescent="0.3">
      <c r="A9" s="5" t="s">
        <v>185</v>
      </c>
      <c r="B9" s="5" t="s">
        <v>132</v>
      </c>
      <c r="C9" s="5" t="str">
        <f>IFERROR(INDEX(tblEmployees[Employee Name],MATCH(tblOnboarding[[#This Row],[Employee ID]],tblEmployees[Employee ID],0)),"ID not found")</f>
        <v>Siddharth Agarwal</v>
      </c>
      <c r="D9" s="5" t="str">
        <f>IFERROR(INDEX(tblEmployees[Department],MATCH(tblOnboarding[[#This Row],[Employee ID]],tblEmployees[Employee ID],0)),"")</f>
        <v>Information Technology</v>
      </c>
      <c r="E9" s="5" t="s">
        <v>186</v>
      </c>
      <c r="F9" s="5" t="s">
        <v>168</v>
      </c>
      <c r="G9" s="6">
        <v>46286</v>
      </c>
      <c r="H9" s="6"/>
      <c r="I9" s="8" t="s">
        <v>187</v>
      </c>
      <c r="J9" s="8" t="str">
        <f>IF(OR(tblOnboarding[[#This Row],[Status]]="Completed",tblOnboarding[[#This Row],[Due Date]]=""),"No",IF(tblOnboarding[[#This Row],[Due Date]]&lt;ReportDate,"Yes","No"))</f>
        <v>Yes</v>
      </c>
      <c r="K9" s="9">
        <f>IF(tblOnboarding[[#This Row],[Overdue]]="Yes",ReportDate-tblOnboarding[[#This Row],[Due Date]],"")</f>
        <v>25</v>
      </c>
      <c r="L9" s="8" t="str">
        <f>IF(OR(tblOnboarding[[#This Row],[Status]]="Completed",tblOnboarding[[#This Row],[Due Date]]=""),"No",IF(AND(tblOnboarding[[#This Row],[Due Date]]&gt;=ReportDate,tblOnboarding[[#This Row],[Due Date]]&lt;=ReportDate+DueSoonDays),"Yes","No"))</f>
        <v>No</v>
      </c>
      <c r="M9" s="5" t="s">
        <v>188</v>
      </c>
    </row>
    <row r="10" spans="1:13" x14ac:dyDescent="0.3">
      <c r="A10" s="5" t="s">
        <v>189</v>
      </c>
      <c r="B10" s="5" t="s">
        <v>67</v>
      </c>
      <c r="C10" s="5" t="str">
        <f>IFERROR(INDEX(tblEmployees[Employee Name],MATCH(tblOnboarding[[#This Row],[Employee ID]],tblEmployees[Employee ID],0)),"ID not found")</f>
        <v>Karan Pawar</v>
      </c>
      <c r="D10" s="5" t="str">
        <f>IFERROR(INDEX(tblEmployees[Department],MATCH(tblOnboarding[[#This Row],[Employee ID]],tblEmployees[Employee ID],0)),"")</f>
        <v>Sales</v>
      </c>
      <c r="E10" s="5" t="s">
        <v>167</v>
      </c>
      <c r="F10" s="5" t="s">
        <v>168</v>
      </c>
      <c r="G10" s="6">
        <v>46274</v>
      </c>
      <c r="H10" s="6">
        <v>46274</v>
      </c>
      <c r="I10" s="8" t="s">
        <v>169</v>
      </c>
      <c r="J10" s="8" t="str">
        <f>IF(OR(tblOnboarding[[#This Row],[Status]]="Completed",tblOnboarding[[#This Row],[Due Date]]=""),"No",IF(tblOnboarding[[#This Row],[Due Date]]&lt;ReportDate,"Yes","No"))</f>
        <v>No</v>
      </c>
      <c r="K10" s="9" t="str">
        <f>IF(tblOnboarding[[#This Row],[Overdue]]="Yes",ReportDate-tblOnboarding[[#This Row],[Due Date]],"")</f>
        <v/>
      </c>
      <c r="L10" s="8" t="str">
        <f>IF(OR(tblOnboarding[[#This Row],[Status]]="Completed",tblOnboarding[[#This Row],[Due Date]]=""),"No",IF(AND(tblOnboarding[[#This Row],[Due Date]]&gt;=ReportDate,tblOnboarding[[#This Row],[Due Date]]&lt;=ReportDate+DueSoonDays),"Yes","No"))</f>
        <v>No</v>
      </c>
      <c r="M10" s="5"/>
    </row>
    <row r="11" spans="1:13" x14ac:dyDescent="0.3">
      <c r="A11" s="5" t="s">
        <v>190</v>
      </c>
      <c r="B11" s="5" t="s">
        <v>67</v>
      </c>
      <c r="C11" s="5" t="str">
        <f>IFERROR(INDEX(tblEmployees[Employee Name],MATCH(tblOnboarding[[#This Row],[Employee ID]],tblEmployees[Employee ID],0)),"ID not found")</f>
        <v>Karan Pawar</v>
      </c>
      <c r="D11" s="5" t="str">
        <f>IFERROR(INDEX(tblEmployees[Department],MATCH(tblOnboarding[[#This Row],[Employee ID]],tblEmployees[Employee ID],0)),"")</f>
        <v>Sales</v>
      </c>
      <c r="E11" s="5" t="s">
        <v>172</v>
      </c>
      <c r="F11" s="5" t="s">
        <v>168</v>
      </c>
      <c r="G11" s="6">
        <v>46275</v>
      </c>
      <c r="H11" s="6"/>
      <c r="I11" s="8" t="s">
        <v>187</v>
      </c>
      <c r="J11" s="8" t="str">
        <f>IF(OR(tblOnboarding[[#This Row],[Status]]="Completed",tblOnboarding[[#This Row],[Due Date]]=""),"No",IF(tblOnboarding[[#This Row],[Due Date]]&lt;ReportDate,"Yes","No"))</f>
        <v>Yes</v>
      </c>
      <c r="K11" s="9">
        <f>IF(tblOnboarding[[#This Row],[Overdue]]="Yes",ReportDate-tblOnboarding[[#This Row],[Due Date]],"")</f>
        <v>36</v>
      </c>
      <c r="L11" s="8" t="str">
        <f>IF(OR(tblOnboarding[[#This Row],[Status]]="Completed",tblOnboarding[[#This Row],[Due Date]]=""),"No",IF(AND(tblOnboarding[[#This Row],[Due Date]]&gt;=ReportDate,tblOnboarding[[#This Row],[Due Date]]&lt;=ReportDate+DueSoonDays),"Yes","No"))</f>
        <v>No</v>
      </c>
      <c r="M11" s="5" t="s">
        <v>191</v>
      </c>
    </row>
    <row r="12" spans="1:13" x14ac:dyDescent="0.3">
      <c r="A12" s="5" t="s">
        <v>192</v>
      </c>
      <c r="B12" s="5" t="s">
        <v>67</v>
      </c>
      <c r="C12" s="5" t="str">
        <f>IFERROR(INDEX(tblEmployees[Employee Name],MATCH(tblOnboarding[[#This Row],[Employee ID]],tblEmployees[Employee ID],0)),"ID not found")</f>
        <v>Karan Pawar</v>
      </c>
      <c r="D12" s="5" t="str">
        <f>IFERROR(INDEX(tblEmployees[Department],MATCH(tblOnboarding[[#This Row],[Employee ID]],tblEmployees[Employee ID],0)),"")</f>
        <v>Sales</v>
      </c>
      <c r="E12" s="5" t="s">
        <v>174</v>
      </c>
      <c r="F12" s="5" t="s">
        <v>175</v>
      </c>
      <c r="G12" s="6">
        <v>46274</v>
      </c>
      <c r="H12" s="6">
        <v>46279</v>
      </c>
      <c r="I12" s="8" t="s">
        <v>169</v>
      </c>
      <c r="J12" s="8" t="str">
        <f>IF(OR(tblOnboarding[[#This Row],[Status]]="Completed",tblOnboarding[[#This Row],[Due Date]]=""),"No",IF(tblOnboarding[[#This Row],[Due Date]]&lt;ReportDate,"Yes","No"))</f>
        <v>No</v>
      </c>
      <c r="K12" s="9" t="str">
        <f>IF(tblOnboarding[[#This Row],[Overdue]]="Yes",ReportDate-tblOnboarding[[#This Row],[Due Date]],"")</f>
        <v/>
      </c>
      <c r="L12" s="8" t="str">
        <f>IF(OR(tblOnboarding[[#This Row],[Status]]="Completed",tblOnboarding[[#This Row],[Due Date]]=""),"No",IF(AND(tblOnboarding[[#This Row],[Due Date]]&gt;=ReportDate,tblOnboarding[[#This Row],[Due Date]]&lt;=ReportDate+DueSoonDays),"Yes","No"))</f>
        <v>No</v>
      </c>
      <c r="M12" s="5"/>
    </row>
    <row r="13" spans="1:13" x14ac:dyDescent="0.3">
      <c r="A13" s="5" t="s">
        <v>193</v>
      </c>
      <c r="B13" s="5" t="s">
        <v>67</v>
      </c>
      <c r="C13" s="5" t="str">
        <f>IFERROR(INDEX(tblEmployees[Employee Name],MATCH(tblOnboarding[[#This Row],[Employee ID]],tblEmployees[Employee ID],0)),"ID not found")</f>
        <v>Karan Pawar</v>
      </c>
      <c r="D13" s="5" t="str">
        <f>IFERROR(INDEX(tblEmployees[Department],MATCH(tblOnboarding[[#This Row],[Employee ID]],tblEmployees[Employee ID],0)),"")</f>
        <v>Sales</v>
      </c>
      <c r="E13" s="5" t="s">
        <v>177</v>
      </c>
      <c r="F13" s="5" t="s">
        <v>168</v>
      </c>
      <c r="G13" s="6">
        <v>46276</v>
      </c>
      <c r="H13" s="6">
        <v>46279</v>
      </c>
      <c r="I13" s="8" t="s">
        <v>169</v>
      </c>
      <c r="J13" s="8" t="str">
        <f>IF(OR(tblOnboarding[[#This Row],[Status]]="Completed",tblOnboarding[[#This Row],[Due Date]]=""),"No",IF(tblOnboarding[[#This Row],[Due Date]]&lt;ReportDate,"Yes","No"))</f>
        <v>No</v>
      </c>
      <c r="K13" s="9" t="str">
        <f>IF(tblOnboarding[[#This Row],[Overdue]]="Yes",ReportDate-tblOnboarding[[#This Row],[Due Date]],"")</f>
        <v/>
      </c>
      <c r="L13" s="8" t="str">
        <f>IF(OR(tblOnboarding[[#This Row],[Status]]="Completed",tblOnboarding[[#This Row],[Due Date]]=""),"No",IF(AND(tblOnboarding[[#This Row],[Due Date]]&gt;=ReportDate,tblOnboarding[[#This Row],[Due Date]]&lt;=ReportDate+DueSoonDays),"Yes","No"))</f>
        <v>No</v>
      </c>
      <c r="M13" s="5" t="s">
        <v>170</v>
      </c>
    </row>
    <row r="14" spans="1:13" x14ac:dyDescent="0.3">
      <c r="A14" s="5" t="s">
        <v>194</v>
      </c>
      <c r="B14" s="5" t="s">
        <v>67</v>
      </c>
      <c r="C14" s="5" t="str">
        <f>IFERROR(INDEX(tblEmployees[Employee Name],MATCH(tblOnboarding[[#This Row],[Employee ID]],tblEmployees[Employee ID],0)),"ID not found")</f>
        <v>Karan Pawar</v>
      </c>
      <c r="D14" s="5" t="str">
        <f>IFERROR(INDEX(tblEmployees[Department],MATCH(tblOnboarding[[#This Row],[Employee ID]],tblEmployees[Employee ID],0)),"")</f>
        <v>Sales</v>
      </c>
      <c r="E14" s="5" t="s">
        <v>179</v>
      </c>
      <c r="F14" s="5" t="s">
        <v>168</v>
      </c>
      <c r="G14" s="6">
        <v>46275</v>
      </c>
      <c r="H14" s="6">
        <v>46279</v>
      </c>
      <c r="I14" s="8" t="s">
        <v>169</v>
      </c>
      <c r="J14" s="8" t="str">
        <f>IF(OR(tblOnboarding[[#This Row],[Status]]="Completed",tblOnboarding[[#This Row],[Due Date]]=""),"No",IF(tblOnboarding[[#This Row],[Due Date]]&lt;ReportDate,"Yes","No"))</f>
        <v>No</v>
      </c>
      <c r="K14" s="9" t="str">
        <f>IF(tblOnboarding[[#This Row],[Overdue]]="Yes",ReportDate-tblOnboarding[[#This Row],[Due Date]],"")</f>
        <v/>
      </c>
      <c r="L14" s="8" t="str">
        <f>IF(OR(tblOnboarding[[#This Row],[Status]]="Completed",tblOnboarding[[#This Row],[Due Date]]=""),"No",IF(AND(tblOnboarding[[#This Row],[Due Date]]&gt;=ReportDate,tblOnboarding[[#This Row],[Due Date]]&lt;=ReportDate+DueSoonDays),"Yes","No"))</f>
        <v>No</v>
      </c>
      <c r="M14" s="5"/>
    </row>
    <row r="15" spans="1:13" x14ac:dyDescent="0.3">
      <c r="A15" s="5" t="s">
        <v>195</v>
      </c>
      <c r="B15" s="5" t="s">
        <v>67</v>
      </c>
      <c r="C15" s="5" t="str">
        <f>IFERROR(INDEX(tblEmployees[Employee Name],MATCH(tblOnboarding[[#This Row],[Employee ID]],tblEmployees[Employee ID],0)),"ID not found")</f>
        <v>Karan Pawar</v>
      </c>
      <c r="D15" s="5" t="str">
        <f>IFERROR(INDEX(tblEmployees[Department],MATCH(tblOnboarding[[#This Row],[Employee ID]],tblEmployees[Employee ID],0)),"")</f>
        <v>Sales</v>
      </c>
      <c r="E15" s="5" t="s">
        <v>181</v>
      </c>
      <c r="F15" s="5" t="s">
        <v>182</v>
      </c>
      <c r="G15" s="6">
        <v>46279</v>
      </c>
      <c r="H15" s="6">
        <v>46281</v>
      </c>
      <c r="I15" s="8" t="s">
        <v>169</v>
      </c>
      <c r="J15" s="8" t="str">
        <f>IF(OR(tblOnboarding[[#This Row],[Status]]="Completed",tblOnboarding[[#This Row],[Due Date]]=""),"No",IF(tblOnboarding[[#This Row],[Due Date]]&lt;ReportDate,"Yes","No"))</f>
        <v>No</v>
      </c>
      <c r="K15" s="9" t="str">
        <f>IF(tblOnboarding[[#This Row],[Overdue]]="Yes",ReportDate-tblOnboarding[[#This Row],[Due Date]],"")</f>
        <v/>
      </c>
      <c r="L15" s="8" t="str">
        <f>IF(OR(tblOnboarding[[#This Row],[Status]]="Completed",tblOnboarding[[#This Row],[Due Date]]=""),"No",IF(AND(tblOnboarding[[#This Row],[Due Date]]&gt;=ReportDate,tblOnboarding[[#This Row],[Due Date]]&lt;=ReportDate+DueSoonDays),"Yes","No"))</f>
        <v>No</v>
      </c>
      <c r="M15" s="5" t="s">
        <v>196</v>
      </c>
    </row>
    <row r="16" spans="1:13" x14ac:dyDescent="0.3">
      <c r="A16" s="5" t="s">
        <v>197</v>
      </c>
      <c r="B16" s="5" t="s">
        <v>67</v>
      </c>
      <c r="C16" s="5" t="str">
        <f>IFERROR(INDEX(tblEmployees[Employee Name],MATCH(tblOnboarding[[#This Row],[Employee ID]],tblEmployees[Employee ID],0)),"ID not found")</f>
        <v>Karan Pawar</v>
      </c>
      <c r="D16" s="5" t="str">
        <f>IFERROR(INDEX(tblEmployees[Department],MATCH(tblOnboarding[[#This Row],[Employee ID]],tblEmployees[Employee ID],0)),"")</f>
        <v>Sales</v>
      </c>
      <c r="E16" s="5" t="s">
        <v>184</v>
      </c>
      <c r="F16" s="5" t="s">
        <v>5</v>
      </c>
      <c r="G16" s="6">
        <v>46280</v>
      </c>
      <c r="H16" s="6">
        <v>46282</v>
      </c>
      <c r="I16" s="8" t="s">
        <v>169</v>
      </c>
      <c r="J16" s="8" t="str">
        <f>IF(OR(tblOnboarding[[#This Row],[Status]]="Completed",tblOnboarding[[#This Row],[Due Date]]=""),"No",IF(tblOnboarding[[#This Row],[Due Date]]&lt;ReportDate,"Yes","No"))</f>
        <v>No</v>
      </c>
      <c r="K16" s="9" t="str">
        <f>IF(tblOnboarding[[#This Row],[Overdue]]="Yes",ReportDate-tblOnboarding[[#This Row],[Due Date]],"")</f>
        <v/>
      </c>
      <c r="L16" s="8" t="str">
        <f>IF(OR(tblOnboarding[[#This Row],[Status]]="Completed",tblOnboarding[[#This Row],[Due Date]]=""),"No",IF(AND(tblOnboarding[[#This Row],[Due Date]]&gt;=ReportDate,tblOnboarding[[#This Row],[Due Date]]&lt;=ReportDate+DueSoonDays),"Yes","No"))</f>
        <v>No</v>
      </c>
      <c r="M16" s="5"/>
    </row>
    <row r="17" spans="1:13" x14ac:dyDescent="0.3">
      <c r="A17" s="5" t="s">
        <v>198</v>
      </c>
      <c r="B17" s="5" t="s">
        <v>67</v>
      </c>
      <c r="C17" s="5" t="str">
        <f>IFERROR(INDEX(tblEmployees[Employee Name],MATCH(tblOnboarding[[#This Row],[Employee ID]],tblEmployees[Employee ID],0)),"ID not found")</f>
        <v>Karan Pawar</v>
      </c>
      <c r="D17" s="5" t="str">
        <f>IFERROR(INDEX(tblEmployees[Department],MATCH(tblOnboarding[[#This Row],[Employee ID]],tblEmployees[Employee ID],0)),"")</f>
        <v>Sales</v>
      </c>
      <c r="E17" s="5" t="s">
        <v>186</v>
      </c>
      <c r="F17" s="5" t="s">
        <v>168</v>
      </c>
      <c r="G17" s="6">
        <v>46287</v>
      </c>
      <c r="H17" s="6">
        <v>46290</v>
      </c>
      <c r="I17" s="8" t="s">
        <v>169</v>
      </c>
      <c r="J17" s="8" t="str">
        <f>IF(OR(tblOnboarding[[#This Row],[Status]]="Completed",tblOnboarding[[#This Row],[Due Date]]=""),"No",IF(tblOnboarding[[#This Row],[Due Date]]&lt;ReportDate,"Yes","No"))</f>
        <v>No</v>
      </c>
      <c r="K17" s="9" t="str">
        <f>IF(tblOnboarding[[#This Row],[Overdue]]="Yes",ReportDate-tblOnboarding[[#This Row],[Due Date]],"")</f>
        <v/>
      </c>
      <c r="L17" s="8" t="str">
        <f>IF(OR(tblOnboarding[[#This Row],[Status]]="Completed",tblOnboarding[[#This Row],[Due Date]]=""),"No",IF(AND(tblOnboarding[[#This Row],[Due Date]]&gt;=ReportDate,tblOnboarding[[#This Row],[Due Date]]&lt;=ReportDate+DueSoonDays),"Yes","No"))</f>
        <v>No</v>
      </c>
      <c r="M17" s="5"/>
    </row>
    <row r="18" spans="1:13" x14ac:dyDescent="0.3">
      <c r="A18" s="5" t="s">
        <v>199</v>
      </c>
      <c r="B18" s="5" t="s">
        <v>147</v>
      </c>
      <c r="C18" s="5" t="str">
        <f>IFERROR(INDEX(tblEmployees[Employee Name],MATCH(tblOnboarding[[#This Row],[Employee ID]],tblEmployees[Employee ID],0)),"ID not found")</f>
        <v>Tushar Banerjee</v>
      </c>
      <c r="D18" s="5" t="str">
        <f>IFERROR(INDEX(tblEmployees[Department],MATCH(tblOnboarding[[#This Row],[Employee ID]],tblEmployees[Employee ID],0)),"")</f>
        <v>Operations</v>
      </c>
      <c r="E18" s="5" t="s">
        <v>167</v>
      </c>
      <c r="F18" s="5" t="s">
        <v>168</v>
      </c>
      <c r="G18" s="6">
        <v>46280</v>
      </c>
      <c r="H18" s="6">
        <v>46280</v>
      </c>
      <c r="I18" s="8" t="s">
        <v>169</v>
      </c>
      <c r="J18" s="8" t="str">
        <f>IF(OR(tblOnboarding[[#This Row],[Status]]="Completed",tblOnboarding[[#This Row],[Due Date]]=""),"No",IF(tblOnboarding[[#This Row],[Due Date]]&lt;ReportDate,"Yes","No"))</f>
        <v>No</v>
      </c>
      <c r="K18" s="9" t="str">
        <f>IF(tblOnboarding[[#This Row],[Overdue]]="Yes",ReportDate-tblOnboarding[[#This Row],[Due Date]],"")</f>
        <v/>
      </c>
      <c r="L18" s="8" t="str">
        <f>IF(OR(tblOnboarding[[#This Row],[Status]]="Completed",tblOnboarding[[#This Row],[Due Date]]=""),"No",IF(AND(tblOnboarding[[#This Row],[Due Date]]&gt;=ReportDate,tblOnboarding[[#This Row],[Due Date]]&lt;=ReportDate+DueSoonDays),"Yes","No"))</f>
        <v>No</v>
      </c>
      <c r="M18" s="5"/>
    </row>
    <row r="19" spans="1:13" x14ac:dyDescent="0.3">
      <c r="A19" s="5" t="s">
        <v>200</v>
      </c>
      <c r="B19" s="5" t="s">
        <v>147</v>
      </c>
      <c r="C19" s="5" t="str">
        <f>IFERROR(INDEX(tblEmployees[Employee Name],MATCH(tblOnboarding[[#This Row],[Employee ID]],tblEmployees[Employee ID],0)),"ID not found")</f>
        <v>Tushar Banerjee</v>
      </c>
      <c r="D19" s="5" t="str">
        <f>IFERROR(INDEX(tblEmployees[Department],MATCH(tblOnboarding[[#This Row],[Employee ID]],tblEmployees[Employee ID],0)),"")</f>
        <v>Operations</v>
      </c>
      <c r="E19" s="5" t="s">
        <v>172</v>
      </c>
      <c r="F19" s="5" t="s">
        <v>168</v>
      </c>
      <c r="G19" s="6">
        <v>46281</v>
      </c>
      <c r="H19" s="6">
        <v>46286</v>
      </c>
      <c r="I19" s="8" t="s">
        <v>169</v>
      </c>
      <c r="J19" s="8" t="str">
        <f>IF(OR(tblOnboarding[[#This Row],[Status]]="Completed",tblOnboarding[[#This Row],[Due Date]]=""),"No",IF(tblOnboarding[[#This Row],[Due Date]]&lt;ReportDate,"Yes","No"))</f>
        <v>No</v>
      </c>
      <c r="K19" s="9" t="str">
        <f>IF(tblOnboarding[[#This Row],[Overdue]]="Yes",ReportDate-tblOnboarding[[#This Row],[Due Date]],"")</f>
        <v/>
      </c>
      <c r="L19" s="8" t="str">
        <f>IF(OR(tblOnboarding[[#This Row],[Status]]="Completed",tblOnboarding[[#This Row],[Due Date]]=""),"No",IF(AND(tblOnboarding[[#This Row],[Due Date]]&gt;=ReportDate,tblOnboarding[[#This Row],[Due Date]]&lt;=ReportDate+DueSoonDays),"Yes","No"))</f>
        <v>No</v>
      </c>
      <c r="M19" s="5"/>
    </row>
    <row r="20" spans="1:13" x14ac:dyDescent="0.3">
      <c r="A20" s="5" t="s">
        <v>201</v>
      </c>
      <c r="B20" s="5" t="s">
        <v>147</v>
      </c>
      <c r="C20" s="5" t="str">
        <f>IFERROR(INDEX(tblEmployees[Employee Name],MATCH(tblOnboarding[[#This Row],[Employee ID]],tblEmployees[Employee ID],0)),"ID not found")</f>
        <v>Tushar Banerjee</v>
      </c>
      <c r="D20" s="5" t="str">
        <f>IFERROR(INDEX(tblEmployees[Department],MATCH(tblOnboarding[[#This Row],[Employee ID]],tblEmployees[Employee ID],0)),"")</f>
        <v>Operations</v>
      </c>
      <c r="E20" s="5" t="s">
        <v>174</v>
      </c>
      <c r="F20" s="5" t="s">
        <v>175</v>
      </c>
      <c r="G20" s="6">
        <v>46280</v>
      </c>
      <c r="H20" s="6">
        <v>46286</v>
      </c>
      <c r="I20" s="8" t="s">
        <v>169</v>
      </c>
      <c r="J20" s="8" t="str">
        <f>IF(OR(tblOnboarding[[#This Row],[Status]]="Completed",tblOnboarding[[#This Row],[Due Date]]=""),"No",IF(tblOnboarding[[#This Row],[Due Date]]&lt;ReportDate,"Yes","No"))</f>
        <v>No</v>
      </c>
      <c r="K20" s="9" t="str">
        <f>IF(tblOnboarding[[#This Row],[Overdue]]="Yes",ReportDate-tblOnboarding[[#This Row],[Due Date]],"")</f>
        <v/>
      </c>
      <c r="L20" s="8" t="str">
        <f>IF(OR(tblOnboarding[[#This Row],[Status]]="Completed",tblOnboarding[[#This Row],[Due Date]]=""),"No",IF(AND(tblOnboarding[[#This Row],[Due Date]]&gt;=ReportDate,tblOnboarding[[#This Row],[Due Date]]&lt;=ReportDate+DueSoonDays),"Yes","No"))</f>
        <v>No</v>
      </c>
      <c r="M20" s="5"/>
    </row>
    <row r="21" spans="1:13" x14ac:dyDescent="0.3">
      <c r="A21" s="5" t="s">
        <v>202</v>
      </c>
      <c r="B21" s="5" t="s">
        <v>147</v>
      </c>
      <c r="C21" s="5" t="str">
        <f>IFERROR(INDEX(tblEmployees[Employee Name],MATCH(tblOnboarding[[#This Row],[Employee ID]],tblEmployees[Employee ID],0)),"ID not found")</f>
        <v>Tushar Banerjee</v>
      </c>
      <c r="D21" s="5" t="str">
        <f>IFERROR(INDEX(tblEmployees[Department],MATCH(tblOnboarding[[#This Row],[Employee ID]],tblEmployees[Employee ID],0)),"")</f>
        <v>Operations</v>
      </c>
      <c r="E21" s="5" t="s">
        <v>177</v>
      </c>
      <c r="F21" s="5" t="s">
        <v>168</v>
      </c>
      <c r="G21" s="6">
        <v>46282</v>
      </c>
      <c r="H21" s="6">
        <v>46283</v>
      </c>
      <c r="I21" s="8" t="s">
        <v>169</v>
      </c>
      <c r="J21" s="8" t="str">
        <f>IF(OR(tblOnboarding[[#This Row],[Status]]="Completed",tblOnboarding[[#This Row],[Due Date]]=""),"No",IF(tblOnboarding[[#This Row],[Due Date]]&lt;ReportDate,"Yes","No"))</f>
        <v>No</v>
      </c>
      <c r="K21" s="9" t="str">
        <f>IF(tblOnboarding[[#This Row],[Overdue]]="Yes",ReportDate-tblOnboarding[[#This Row],[Due Date]],"")</f>
        <v/>
      </c>
      <c r="L21" s="8" t="str">
        <f>IF(OR(tblOnboarding[[#This Row],[Status]]="Completed",tblOnboarding[[#This Row],[Due Date]]=""),"No",IF(AND(tblOnboarding[[#This Row],[Due Date]]&gt;=ReportDate,tblOnboarding[[#This Row],[Due Date]]&lt;=ReportDate+DueSoonDays),"Yes","No"))</f>
        <v>No</v>
      </c>
      <c r="M21" s="5" t="s">
        <v>170</v>
      </c>
    </row>
    <row r="22" spans="1:13" x14ac:dyDescent="0.3">
      <c r="A22" s="5" t="s">
        <v>203</v>
      </c>
      <c r="B22" s="5" t="s">
        <v>147</v>
      </c>
      <c r="C22" s="5" t="str">
        <f>IFERROR(INDEX(tblEmployees[Employee Name],MATCH(tblOnboarding[[#This Row],[Employee ID]],tblEmployees[Employee ID],0)),"ID not found")</f>
        <v>Tushar Banerjee</v>
      </c>
      <c r="D22" s="5" t="str">
        <f>IFERROR(INDEX(tblEmployees[Department],MATCH(tblOnboarding[[#This Row],[Employee ID]],tblEmployees[Employee ID],0)),"")</f>
        <v>Operations</v>
      </c>
      <c r="E22" s="5" t="s">
        <v>179</v>
      </c>
      <c r="F22" s="5" t="s">
        <v>168</v>
      </c>
      <c r="G22" s="6">
        <v>46281</v>
      </c>
      <c r="H22" s="6">
        <v>46282</v>
      </c>
      <c r="I22" s="8" t="s">
        <v>169</v>
      </c>
      <c r="J22" s="8" t="str">
        <f>IF(OR(tblOnboarding[[#This Row],[Status]]="Completed",tblOnboarding[[#This Row],[Due Date]]=""),"No",IF(tblOnboarding[[#This Row],[Due Date]]&lt;ReportDate,"Yes","No"))</f>
        <v>No</v>
      </c>
      <c r="K22" s="9" t="str">
        <f>IF(tblOnboarding[[#This Row],[Overdue]]="Yes",ReportDate-tblOnboarding[[#This Row],[Due Date]],"")</f>
        <v/>
      </c>
      <c r="L22" s="8" t="str">
        <f>IF(OR(tblOnboarding[[#This Row],[Status]]="Completed",tblOnboarding[[#This Row],[Due Date]]=""),"No",IF(AND(tblOnboarding[[#This Row],[Due Date]]&gt;=ReportDate,tblOnboarding[[#This Row],[Due Date]]&lt;=ReportDate+DueSoonDays),"Yes","No"))</f>
        <v>No</v>
      </c>
      <c r="M22" s="5"/>
    </row>
    <row r="23" spans="1:13" x14ac:dyDescent="0.3">
      <c r="A23" s="5" t="s">
        <v>204</v>
      </c>
      <c r="B23" s="5" t="s">
        <v>147</v>
      </c>
      <c r="C23" s="5" t="str">
        <f>IFERROR(INDEX(tblEmployees[Employee Name],MATCH(tblOnboarding[[#This Row],[Employee ID]],tblEmployees[Employee ID],0)),"ID not found")</f>
        <v>Tushar Banerjee</v>
      </c>
      <c r="D23" s="5" t="str">
        <f>IFERROR(INDEX(tblEmployees[Department],MATCH(tblOnboarding[[#This Row],[Employee ID]],tblEmployees[Employee ID],0)),"")</f>
        <v>Operations</v>
      </c>
      <c r="E23" s="5" t="s">
        <v>181</v>
      </c>
      <c r="F23" s="5" t="s">
        <v>182</v>
      </c>
      <c r="G23" s="6">
        <v>46286</v>
      </c>
      <c r="H23" s="6"/>
      <c r="I23" s="8" t="s">
        <v>205</v>
      </c>
      <c r="J23" s="8" t="str">
        <f>IF(OR(tblOnboarding[[#This Row],[Status]]="Completed",tblOnboarding[[#This Row],[Due Date]]=""),"No",IF(tblOnboarding[[#This Row],[Due Date]]&lt;ReportDate,"Yes","No"))</f>
        <v>Yes</v>
      </c>
      <c r="K23" s="9">
        <f>IF(tblOnboarding[[#This Row],[Overdue]]="Yes",ReportDate-tblOnboarding[[#This Row],[Due Date]],"")</f>
        <v>25</v>
      </c>
      <c r="L23" s="8" t="str">
        <f>IF(OR(tblOnboarding[[#This Row],[Status]]="Completed",tblOnboarding[[#This Row],[Due Date]]=""),"No",IF(AND(tblOnboarding[[#This Row],[Due Date]]&gt;=ReportDate,tblOnboarding[[#This Row],[Due Date]]&lt;=ReportDate+DueSoonDays),"Yes","No"))</f>
        <v>No</v>
      </c>
      <c r="M23" s="5" t="s">
        <v>206</v>
      </c>
    </row>
    <row r="24" spans="1:13" x14ac:dyDescent="0.3">
      <c r="A24" s="5" t="s">
        <v>207</v>
      </c>
      <c r="B24" s="5" t="s">
        <v>147</v>
      </c>
      <c r="C24" s="5" t="str">
        <f>IFERROR(INDEX(tblEmployees[Employee Name],MATCH(tblOnboarding[[#This Row],[Employee ID]],tblEmployees[Employee ID],0)),"ID not found")</f>
        <v>Tushar Banerjee</v>
      </c>
      <c r="D24" s="5" t="str">
        <f>IFERROR(INDEX(tblEmployees[Department],MATCH(tblOnboarding[[#This Row],[Employee ID]],tblEmployees[Employee ID],0)),"")</f>
        <v>Operations</v>
      </c>
      <c r="E24" s="5" t="s">
        <v>184</v>
      </c>
      <c r="F24" s="5" t="s">
        <v>5</v>
      </c>
      <c r="G24" s="6">
        <v>46286</v>
      </c>
      <c r="H24" s="6">
        <v>46287</v>
      </c>
      <c r="I24" s="8" t="s">
        <v>169</v>
      </c>
      <c r="J24" s="8" t="str">
        <f>IF(OR(tblOnboarding[[#This Row],[Status]]="Completed",tblOnboarding[[#This Row],[Due Date]]=""),"No",IF(tblOnboarding[[#This Row],[Due Date]]&lt;ReportDate,"Yes","No"))</f>
        <v>No</v>
      </c>
      <c r="K24" s="9" t="str">
        <f>IF(tblOnboarding[[#This Row],[Overdue]]="Yes",ReportDate-tblOnboarding[[#This Row],[Due Date]],"")</f>
        <v/>
      </c>
      <c r="L24" s="8" t="str">
        <f>IF(OR(tblOnboarding[[#This Row],[Status]]="Completed",tblOnboarding[[#This Row],[Due Date]]=""),"No",IF(AND(tblOnboarding[[#This Row],[Due Date]]&gt;=ReportDate,tblOnboarding[[#This Row],[Due Date]]&lt;=ReportDate+DueSoonDays),"Yes","No"))</f>
        <v>No</v>
      </c>
      <c r="M24" s="5"/>
    </row>
    <row r="25" spans="1:13" x14ac:dyDescent="0.3">
      <c r="A25" s="5" t="s">
        <v>208</v>
      </c>
      <c r="B25" s="5" t="s">
        <v>147</v>
      </c>
      <c r="C25" s="5" t="str">
        <f>IFERROR(INDEX(tblEmployees[Employee Name],MATCH(tblOnboarding[[#This Row],[Employee ID]],tblEmployees[Employee ID],0)),"ID not found")</f>
        <v>Tushar Banerjee</v>
      </c>
      <c r="D25" s="5" t="str">
        <f>IFERROR(INDEX(tblEmployees[Department],MATCH(tblOnboarding[[#This Row],[Employee ID]],tblEmployees[Employee ID],0)),"")</f>
        <v>Operations</v>
      </c>
      <c r="E25" s="5" t="s">
        <v>186</v>
      </c>
      <c r="F25" s="5" t="s">
        <v>168</v>
      </c>
      <c r="G25" s="6">
        <v>46293</v>
      </c>
      <c r="H25" s="6">
        <v>46294</v>
      </c>
      <c r="I25" s="8" t="s">
        <v>169</v>
      </c>
      <c r="J25" s="8" t="str">
        <f>IF(OR(tblOnboarding[[#This Row],[Status]]="Completed",tblOnboarding[[#This Row],[Due Date]]=""),"No",IF(tblOnboarding[[#This Row],[Due Date]]&lt;ReportDate,"Yes","No"))</f>
        <v>No</v>
      </c>
      <c r="K25" s="9" t="str">
        <f>IF(tblOnboarding[[#This Row],[Overdue]]="Yes",ReportDate-tblOnboarding[[#This Row],[Due Date]],"")</f>
        <v/>
      </c>
      <c r="L25" s="8" t="str">
        <f>IF(OR(tblOnboarding[[#This Row],[Status]]="Completed",tblOnboarding[[#This Row],[Due Date]]=""),"No",IF(AND(tblOnboarding[[#This Row],[Due Date]]&gt;=ReportDate,tblOnboarding[[#This Row],[Due Date]]&lt;=ReportDate+DueSoonDays),"Yes","No"))</f>
        <v>No</v>
      </c>
      <c r="M25" s="5"/>
    </row>
    <row r="26" spans="1:13" x14ac:dyDescent="0.3">
      <c r="A26" s="5" t="s">
        <v>209</v>
      </c>
      <c r="B26" s="5" t="s">
        <v>112</v>
      </c>
      <c r="C26" s="5" t="str">
        <f>IFERROR(INDEX(tblEmployees[Employee Name],MATCH(tblOnboarding[[#This Row],[Employee ID]],tblEmployees[Employee ID],0)),"ID not found")</f>
        <v>Priya Kadam</v>
      </c>
      <c r="D26" s="5" t="str">
        <f>IFERROR(INDEX(tblEmployees[Department],MATCH(tblOnboarding[[#This Row],[Employee ID]],tblEmployees[Employee ID],0)),"")</f>
        <v>Customer Support</v>
      </c>
      <c r="E26" s="5" t="s">
        <v>167</v>
      </c>
      <c r="F26" s="5" t="s">
        <v>168</v>
      </c>
      <c r="G26" s="6">
        <v>46280</v>
      </c>
      <c r="H26" s="6">
        <v>46279</v>
      </c>
      <c r="I26" s="8" t="s">
        <v>169</v>
      </c>
      <c r="J26" s="8" t="str">
        <f>IF(OR(tblOnboarding[[#This Row],[Status]]="Completed",tblOnboarding[[#This Row],[Due Date]]=""),"No",IF(tblOnboarding[[#This Row],[Due Date]]&lt;ReportDate,"Yes","No"))</f>
        <v>No</v>
      </c>
      <c r="K26" s="9" t="str">
        <f>IF(tblOnboarding[[#This Row],[Overdue]]="Yes",ReportDate-tblOnboarding[[#This Row],[Due Date]],"")</f>
        <v/>
      </c>
      <c r="L26" s="8" t="str">
        <f>IF(OR(tblOnboarding[[#This Row],[Status]]="Completed",tblOnboarding[[#This Row],[Due Date]]=""),"No",IF(AND(tblOnboarding[[#This Row],[Due Date]]&gt;=ReportDate,tblOnboarding[[#This Row],[Due Date]]&lt;=ReportDate+DueSoonDays),"Yes","No"))</f>
        <v>No</v>
      </c>
      <c r="M26" s="5"/>
    </row>
    <row r="27" spans="1:13" x14ac:dyDescent="0.3">
      <c r="A27" s="5" t="s">
        <v>210</v>
      </c>
      <c r="B27" s="5" t="s">
        <v>112</v>
      </c>
      <c r="C27" s="5" t="str">
        <f>IFERROR(INDEX(tblEmployees[Employee Name],MATCH(tblOnboarding[[#This Row],[Employee ID]],tblEmployees[Employee ID],0)),"ID not found")</f>
        <v>Priya Kadam</v>
      </c>
      <c r="D27" s="5" t="str">
        <f>IFERROR(INDEX(tblEmployees[Department],MATCH(tblOnboarding[[#This Row],[Employee ID]],tblEmployees[Employee ID],0)),"")</f>
        <v>Customer Support</v>
      </c>
      <c r="E27" s="5" t="s">
        <v>172</v>
      </c>
      <c r="F27" s="5" t="s">
        <v>168</v>
      </c>
      <c r="G27" s="6">
        <v>46281</v>
      </c>
      <c r="H27" s="6"/>
      <c r="I27" s="8" t="s">
        <v>205</v>
      </c>
      <c r="J27" s="8" t="str">
        <f>IF(OR(tblOnboarding[[#This Row],[Status]]="Completed",tblOnboarding[[#This Row],[Due Date]]=""),"No",IF(tblOnboarding[[#This Row],[Due Date]]&lt;ReportDate,"Yes","No"))</f>
        <v>Yes</v>
      </c>
      <c r="K27" s="9">
        <f>IF(tblOnboarding[[#This Row],[Overdue]]="Yes",ReportDate-tblOnboarding[[#This Row],[Due Date]],"")</f>
        <v>30</v>
      </c>
      <c r="L27" s="8" t="str">
        <f>IF(OR(tblOnboarding[[#This Row],[Status]]="Completed",tblOnboarding[[#This Row],[Due Date]]=""),"No",IF(AND(tblOnboarding[[#This Row],[Due Date]]&gt;=ReportDate,tblOnboarding[[#This Row],[Due Date]]&lt;=ReportDate+DueSoonDays),"Yes","No"))</f>
        <v>No</v>
      </c>
      <c r="M27" s="5"/>
    </row>
    <row r="28" spans="1:13" x14ac:dyDescent="0.3">
      <c r="A28" s="5" t="s">
        <v>211</v>
      </c>
      <c r="B28" s="5" t="s">
        <v>112</v>
      </c>
      <c r="C28" s="5" t="str">
        <f>IFERROR(INDEX(tblEmployees[Employee Name],MATCH(tblOnboarding[[#This Row],[Employee ID]],tblEmployees[Employee ID],0)),"ID not found")</f>
        <v>Priya Kadam</v>
      </c>
      <c r="D28" s="5" t="str">
        <f>IFERROR(INDEX(tblEmployees[Department],MATCH(tblOnboarding[[#This Row],[Employee ID]],tblEmployees[Employee ID],0)),"")</f>
        <v>Customer Support</v>
      </c>
      <c r="E28" s="5" t="s">
        <v>174</v>
      </c>
      <c r="F28" s="5" t="s">
        <v>175</v>
      </c>
      <c r="G28" s="6">
        <v>46280</v>
      </c>
      <c r="H28" s="6">
        <v>46280</v>
      </c>
      <c r="I28" s="8" t="s">
        <v>169</v>
      </c>
      <c r="J28" s="8" t="str">
        <f>IF(OR(tblOnboarding[[#This Row],[Status]]="Completed",tblOnboarding[[#This Row],[Due Date]]=""),"No",IF(tblOnboarding[[#This Row],[Due Date]]&lt;ReportDate,"Yes","No"))</f>
        <v>No</v>
      </c>
      <c r="K28" s="9" t="str">
        <f>IF(tblOnboarding[[#This Row],[Overdue]]="Yes",ReportDate-tblOnboarding[[#This Row],[Due Date]],"")</f>
        <v/>
      </c>
      <c r="L28" s="8" t="str">
        <f>IF(OR(tblOnboarding[[#This Row],[Status]]="Completed",tblOnboarding[[#This Row],[Due Date]]=""),"No",IF(AND(tblOnboarding[[#This Row],[Due Date]]&gt;=ReportDate,tblOnboarding[[#This Row],[Due Date]]&lt;=ReportDate+DueSoonDays),"Yes","No"))</f>
        <v>No</v>
      </c>
      <c r="M28" s="5"/>
    </row>
    <row r="29" spans="1:13" x14ac:dyDescent="0.3">
      <c r="A29" s="5" t="s">
        <v>212</v>
      </c>
      <c r="B29" s="5" t="s">
        <v>112</v>
      </c>
      <c r="C29" s="5" t="str">
        <f>IFERROR(INDEX(tblEmployees[Employee Name],MATCH(tblOnboarding[[#This Row],[Employee ID]],tblEmployees[Employee ID],0)),"ID not found")</f>
        <v>Priya Kadam</v>
      </c>
      <c r="D29" s="5" t="str">
        <f>IFERROR(INDEX(tblEmployees[Department],MATCH(tblOnboarding[[#This Row],[Employee ID]],tblEmployees[Employee ID],0)),"")</f>
        <v>Customer Support</v>
      </c>
      <c r="E29" s="5" t="s">
        <v>177</v>
      </c>
      <c r="F29" s="5" t="s">
        <v>168</v>
      </c>
      <c r="G29" s="6">
        <v>46282</v>
      </c>
      <c r="H29" s="6">
        <v>46281</v>
      </c>
      <c r="I29" s="8" t="s">
        <v>169</v>
      </c>
      <c r="J29" s="8" t="str">
        <f>IF(OR(tblOnboarding[[#This Row],[Status]]="Completed",tblOnboarding[[#This Row],[Due Date]]=""),"No",IF(tblOnboarding[[#This Row],[Due Date]]&lt;ReportDate,"Yes","No"))</f>
        <v>No</v>
      </c>
      <c r="K29" s="9" t="str">
        <f>IF(tblOnboarding[[#This Row],[Overdue]]="Yes",ReportDate-tblOnboarding[[#This Row],[Due Date]],"")</f>
        <v/>
      </c>
      <c r="L29" s="8" t="str">
        <f>IF(OR(tblOnboarding[[#This Row],[Status]]="Completed",tblOnboarding[[#This Row],[Due Date]]=""),"No",IF(AND(tblOnboarding[[#This Row],[Due Date]]&gt;=ReportDate,tblOnboarding[[#This Row],[Due Date]]&lt;=ReportDate+DueSoonDays),"Yes","No"))</f>
        <v>No</v>
      </c>
      <c r="M29" s="5"/>
    </row>
    <row r="30" spans="1:13" x14ac:dyDescent="0.3">
      <c r="A30" s="5" t="s">
        <v>213</v>
      </c>
      <c r="B30" s="5" t="s">
        <v>112</v>
      </c>
      <c r="C30" s="5" t="str">
        <f>IFERROR(INDEX(tblEmployees[Employee Name],MATCH(tblOnboarding[[#This Row],[Employee ID]],tblEmployees[Employee ID],0)),"ID not found")</f>
        <v>Priya Kadam</v>
      </c>
      <c r="D30" s="5" t="str">
        <f>IFERROR(INDEX(tblEmployees[Department],MATCH(tblOnboarding[[#This Row],[Employee ID]],tblEmployees[Employee ID],0)),"")</f>
        <v>Customer Support</v>
      </c>
      <c r="E30" s="5" t="s">
        <v>179</v>
      </c>
      <c r="F30" s="5" t="s">
        <v>168</v>
      </c>
      <c r="G30" s="6">
        <v>46281</v>
      </c>
      <c r="H30" s="6">
        <v>46283</v>
      </c>
      <c r="I30" s="8" t="s">
        <v>169</v>
      </c>
      <c r="J30" s="8" t="str">
        <f>IF(OR(tblOnboarding[[#This Row],[Status]]="Completed",tblOnboarding[[#This Row],[Due Date]]=""),"No",IF(tblOnboarding[[#This Row],[Due Date]]&lt;ReportDate,"Yes","No"))</f>
        <v>No</v>
      </c>
      <c r="K30" s="9" t="str">
        <f>IF(tblOnboarding[[#This Row],[Overdue]]="Yes",ReportDate-tblOnboarding[[#This Row],[Due Date]],"")</f>
        <v/>
      </c>
      <c r="L30" s="8" t="str">
        <f>IF(OR(tblOnboarding[[#This Row],[Status]]="Completed",tblOnboarding[[#This Row],[Due Date]]=""),"No",IF(AND(tblOnboarding[[#This Row],[Due Date]]&gt;=ReportDate,tblOnboarding[[#This Row],[Due Date]]&lt;=ReportDate+DueSoonDays),"Yes","No"))</f>
        <v>No</v>
      </c>
      <c r="M30" s="5" t="s">
        <v>196</v>
      </c>
    </row>
    <row r="31" spans="1:13" x14ac:dyDescent="0.3">
      <c r="A31" s="5" t="s">
        <v>214</v>
      </c>
      <c r="B31" s="5" t="s">
        <v>112</v>
      </c>
      <c r="C31" s="5" t="str">
        <f>IFERROR(INDEX(tblEmployees[Employee Name],MATCH(tblOnboarding[[#This Row],[Employee ID]],tblEmployees[Employee ID],0)),"ID not found")</f>
        <v>Priya Kadam</v>
      </c>
      <c r="D31" s="5" t="str">
        <f>IFERROR(INDEX(tblEmployees[Department],MATCH(tblOnboarding[[#This Row],[Employee ID]],tblEmployees[Employee ID],0)),"")</f>
        <v>Customer Support</v>
      </c>
      <c r="E31" s="5" t="s">
        <v>181</v>
      </c>
      <c r="F31" s="5" t="s">
        <v>182</v>
      </c>
      <c r="G31" s="6">
        <v>46286</v>
      </c>
      <c r="H31" s="6"/>
      <c r="I31" s="8" t="s">
        <v>205</v>
      </c>
      <c r="J31" s="8" t="str">
        <f>IF(OR(tblOnboarding[[#This Row],[Status]]="Completed",tblOnboarding[[#This Row],[Due Date]]=""),"No",IF(tblOnboarding[[#This Row],[Due Date]]&lt;ReportDate,"Yes","No"))</f>
        <v>Yes</v>
      </c>
      <c r="K31" s="9">
        <f>IF(tblOnboarding[[#This Row],[Overdue]]="Yes",ReportDate-tblOnboarding[[#This Row],[Due Date]],"")</f>
        <v>25</v>
      </c>
      <c r="L31" s="8" t="str">
        <f>IF(OR(tblOnboarding[[#This Row],[Status]]="Completed",tblOnboarding[[#This Row],[Due Date]]=""),"No",IF(AND(tblOnboarding[[#This Row],[Due Date]]&gt;=ReportDate,tblOnboarding[[#This Row],[Due Date]]&lt;=ReportDate+DueSoonDays),"Yes","No"))</f>
        <v>No</v>
      </c>
      <c r="M31" s="5" t="s">
        <v>215</v>
      </c>
    </row>
    <row r="32" spans="1:13" x14ac:dyDescent="0.3">
      <c r="A32" s="5" t="s">
        <v>216</v>
      </c>
      <c r="B32" s="5" t="s">
        <v>112</v>
      </c>
      <c r="C32" s="5" t="str">
        <f>IFERROR(INDEX(tblEmployees[Employee Name],MATCH(tblOnboarding[[#This Row],[Employee ID]],tblEmployees[Employee ID],0)),"ID not found")</f>
        <v>Priya Kadam</v>
      </c>
      <c r="D32" s="5" t="str">
        <f>IFERROR(INDEX(tblEmployees[Department],MATCH(tblOnboarding[[#This Row],[Employee ID]],tblEmployees[Employee ID],0)),"")</f>
        <v>Customer Support</v>
      </c>
      <c r="E32" s="5" t="s">
        <v>184</v>
      </c>
      <c r="F32" s="5" t="s">
        <v>5</v>
      </c>
      <c r="G32" s="6">
        <v>46286</v>
      </c>
      <c r="H32" s="6">
        <v>46286</v>
      </c>
      <c r="I32" s="8" t="s">
        <v>169</v>
      </c>
      <c r="J32" s="8" t="str">
        <f>IF(OR(tblOnboarding[[#This Row],[Status]]="Completed",tblOnboarding[[#This Row],[Due Date]]=""),"No",IF(tblOnboarding[[#This Row],[Due Date]]&lt;ReportDate,"Yes","No"))</f>
        <v>No</v>
      </c>
      <c r="K32" s="9" t="str">
        <f>IF(tblOnboarding[[#This Row],[Overdue]]="Yes",ReportDate-tblOnboarding[[#This Row],[Due Date]],"")</f>
        <v/>
      </c>
      <c r="L32" s="8" t="str">
        <f>IF(OR(tblOnboarding[[#This Row],[Status]]="Completed",tblOnboarding[[#This Row],[Due Date]]=""),"No",IF(AND(tblOnboarding[[#This Row],[Due Date]]&gt;=ReportDate,tblOnboarding[[#This Row],[Due Date]]&lt;=ReportDate+DueSoonDays),"Yes","No"))</f>
        <v>No</v>
      </c>
      <c r="M32" s="5"/>
    </row>
    <row r="33" spans="1:13" x14ac:dyDescent="0.3">
      <c r="A33" s="5" t="s">
        <v>217</v>
      </c>
      <c r="B33" s="5" t="s">
        <v>112</v>
      </c>
      <c r="C33" s="5" t="str">
        <f>IFERROR(INDEX(tblEmployees[Employee Name],MATCH(tblOnboarding[[#This Row],[Employee ID]],tblEmployees[Employee ID],0)),"ID not found")</f>
        <v>Priya Kadam</v>
      </c>
      <c r="D33" s="5" t="str">
        <f>IFERROR(INDEX(tblEmployees[Department],MATCH(tblOnboarding[[#This Row],[Employee ID]],tblEmployees[Employee ID],0)),"")</f>
        <v>Customer Support</v>
      </c>
      <c r="E33" s="5" t="s">
        <v>186</v>
      </c>
      <c r="F33" s="5" t="s">
        <v>168</v>
      </c>
      <c r="G33" s="6">
        <v>46293</v>
      </c>
      <c r="H33" s="6"/>
      <c r="I33" s="8" t="s">
        <v>205</v>
      </c>
      <c r="J33" s="8" t="str">
        <f>IF(OR(tblOnboarding[[#This Row],[Status]]="Completed",tblOnboarding[[#This Row],[Due Date]]=""),"No",IF(tblOnboarding[[#This Row],[Due Date]]&lt;ReportDate,"Yes","No"))</f>
        <v>Yes</v>
      </c>
      <c r="K33" s="9">
        <f>IF(tblOnboarding[[#This Row],[Overdue]]="Yes",ReportDate-tblOnboarding[[#This Row],[Due Date]],"")</f>
        <v>18</v>
      </c>
      <c r="L33" s="8" t="str">
        <f>IF(OR(tblOnboarding[[#This Row],[Status]]="Completed",tblOnboarding[[#This Row],[Due Date]]=""),"No",IF(AND(tblOnboarding[[#This Row],[Due Date]]&gt;=ReportDate,tblOnboarding[[#This Row],[Due Date]]&lt;=ReportDate+DueSoonDays),"Yes","No"))</f>
        <v>No</v>
      </c>
      <c r="M33" s="5" t="s">
        <v>218</v>
      </c>
    </row>
    <row r="34" spans="1:13" x14ac:dyDescent="0.3">
      <c r="A34" s="5" t="s">
        <v>219</v>
      </c>
      <c r="B34" s="5" t="s">
        <v>105</v>
      </c>
      <c r="C34" s="5" t="str">
        <f>IFERROR(INDEX(tblEmployees[Employee Name],MATCH(tblOnboarding[[#This Row],[Employee ID]],tblEmployees[Employee ID],0)),"ID not found")</f>
        <v>Pooja Thakur</v>
      </c>
      <c r="D34" s="5" t="str">
        <f>IFERROR(INDEX(tblEmployees[Department],MATCH(tblOnboarding[[#This Row],[Employee ID]],tblEmployees[Employee ID],0)),"")</f>
        <v>Operations</v>
      </c>
      <c r="E34" s="5" t="s">
        <v>167</v>
      </c>
      <c r="F34" s="5" t="s">
        <v>168</v>
      </c>
      <c r="G34" s="6">
        <v>46282</v>
      </c>
      <c r="H34" s="6">
        <v>46286</v>
      </c>
      <c r="I34" s="8" t="s">
        <v>169</v>
      </c>
      <c r="J34" s="8" t="str">
        <f>IF(OR(tblOnboarding[[#This Row],[Status]]="Completed",tblOnboarding[[#This Row],[Due Date]]=""),"No",IF(tblOnboarding[[#This Row],[Due Date]]&lt;ReportDate,"Yes","No"))</f>
        <v>No</v>
      </c>
      <c r="K34" s="9" t="str">
        <f>IF(tblOnboarding[[#This Row],[Overdue]]="Yes",ReportDate-tblOnboarding[[#This Row],[Due Date]],"")</f>
        <v/>
      </c>
      <c r="L34" s="8" t="str">
        <f>IF(OR(tblOnboarding[[#This Row],[Status]]="Completed",tblOnboarding[[#This Row],[Due Date]]=""),"No",IF(AND(tblOnboarding[[#This Row],[Due Date]]&gt;=ReportDate,tblOnboarding[[#This Row],[Due Date]]&lt;=ReportDate+DueSoonDays),"Yes","No"))</f>
        <v>No</v>
      </c>
      <c r="M34" s="5"/>
    </row>
    <row r="35" spans="1:13" x14ac:dyDescent="0.3">
      <c r="A35" s="5" t="s">
        <v>220</v>
      </c>
      <c r="B35" s="5" t="s">
        <v>105</v>
      </c>
      <c r="C35" s="5" t="str">
        <f>IFERROR(INDEX(tblEmployees[Employee Name],MATCH(tblOnboarding[[#This Row],[Employee ID]],tblEmployees[Employee ID],0)),"ID not found")</f>
        <v>Pooja Thakur</v>
      </c>
      <c r="D35" s="5" t="str">
        <f>IFERROR(INDEX(tblEmployees[Department],MATCH(tblOnboarding[[#This Row],[Employee ID]],tblEmployees[Employee ID],0)),"")</f>
        <v>Operations</v>
      </c>
      <c r="E35" s="5" t="s">
        <v>172</v>
      </c>
      <c r="F35" s="5" t="s">
        <v>168</v>
      </c>
      <c r="G35" s="6">
        <v>46283</v>
      </c>
      <c r="H35" s="6">
        <v>46283</v>
      </c>
      <c r="I35" s="8" t="s">
        <v>169</v>
      </c>
      <c r="J35" s="8" t="str">
        <f>IF(OR(tblOnboarding[[#This Row],[Status]]="Completed",tblOnboarding[[#This Row],[Due Date]]=""),"No",IF(tblOnboarding[[#This Row],[Due Date]]&lt;ReportDate,"Yes","No"))</f>
        <v>No</v>
      </c>
      <c r="K35" s="9" t="str">
        <f>IF(tblOnboarding[[#This Row],[Overdue]]="Yes",ReportDate-tblOnboarding[[#This Row],[Due Date]],"")</f>
        <v/>
      </c>
      <c r="L35" s="8" t="str">
        <f>IF(OR(tblOnboarding[[#This Row],[Status]]="Completed",tblOnboarding[[#This Row],[Due Date]]=""),"No",IF(AND(tblOnboarding[[#This Row],[Due Date]]&gt;=ReportDate,tblOnboarding[[#This Row],[Due Date]]&lt;=ReportDate+DueSoonDays),"Yes","No"))</f>
        <v>No</v>
      </c>
      <c r="M35" s="5"/>
    </row>
    <row r="36" spans="1:13" x14ac:dyDescent="0.3">
      <c r="A36" s="5" t="s">
        <v>221</v>
      </c>
      <c r="B36" s="5" t="s">
        <v>105</v>
      </c>
      <c r="C36" s="5" t="str">
        <f>IFERROR(INDEX(tblEmployees[Employee Name],MATCH(tblOnboarding[[#This Row],[Employee ID]],tblEmployees[Employee ID],0)),"ID not found")</f>
        <v>Pooja Thakur</v>
      </c>
      <c r="D36" s="5" t="str">
        <f>IFERROR(INDEX(tblEmployees[Department],MATCH(tblOnboarding[[#This Row],[Employee ID]],tblEmployees[Employee ID],0)),"")</f>
        <v>Operations</v>
      </c>
      <c r="E36" s="5" t="s">
        <v>174</v>
      </c>
      <c r="F36" s="5" t="s">
        <v>175</v>
      </c>
      <c r="G36" s="6">
        <v>46282</v>
      </c>
      <c r="H36" s="6">
        <v>46282</v>
      </c>
      <c r="I36" s="8" t="s">
        <v>169</v>
      </c>
      <c r="J36" s="8" t="str">
        <f>IF(OR(tblOnboarding[[#This Row],[Status]]="Completed",tblOnboarding[[#This Row],[Due Date]]=""),"No",IF(tblOnboarding[[#This Row],[Due Date]]&lt;ReportDate,"Yes","No"))</f>
        <v>No</v>
      </c>
      <c r="K36" s="9" t="str">
        <f>IF(tblOnboarding[[#This Row],[Overdue]]="Yes",ReportDate-tblOnboarding[[#This Row],[Due Date]],"")</f>
        <v/>
      </c>
      <c r="L36" s="8" t="str">
        <f>IF(OR(tblOnboarding[[#This Row],[Status]]="Completed",tblOnboarding[[#This Row],[Due Date]]=""),"No",IF(AND(tblOnboarding[[#This Row],[Due Date]]&gt;=ReportDate,tblOnboarding[[#This Row],[Due Date]]&lt;=ReportDate+DueSoonDays),"Yes","No"))</f>
        <v>No</v>
      </c>
      <c r="M36" s="5"/>
    </row>
    <row r="37" spans="1:13" x14ac:dyDescent="0.3">
      <c r="A37" s="5" t="s">
        <v>222</v>
      </c>
      <c r="B37" s="5" t="s">
        <v>105</v>
      </c>
      <c r="C37" s="5" t="str">
        <f>IFERROR(INDEX(tblEmployees[Employee Name],MATCH(tblOnboarding[[#This Row],[Employee ID]],tblEmployees[Employee ID],0)),"ID not found")</f>
        <v>Pooja Thakur</v>
      </c>
      <c r="D37" s="5" t="str">
        <f>IFERROR(INDEX(tblEmployees[Department],MATCH(tblOnboarding[[#This Row],[Employee ID]],tblEmployees[Employee ID],0)),"")</f>
        <v>Operations</v>
      </c>
      <c r="E37" s="5" t="s">
        <v>177</v>
      </c>
      <c r="F37" s="5" t="s">
        <v>168</v>
      </c>
      <c r="G37" s="6">
        <v>46286</v>
      </c>
      <c r="H37" s="6">
        <v>46287</v>
      </c>
      <c r="I37" s="8" t="s">
        <v>169</v>
      </c>
      <c r="J37" s="8" t="str">
        <f>IF(OR(tblOnboarding[[#This Row],[Status]]="Completed",tblOnboarding[[#This Row],[Due Date]]=""),"No",IF(tblOnboarding[[#This Row],[Due Date]]&lt;ReportDate,"Yes","No"))</f>
        <v>No</v>
      </c>
      <c r="K37" s="9" t="str">
        <f>IF(tblOnboarding[[#This Row],[Overdue]]="Yes",ReportDate-tblOnboarding[[#This Row],[Due Date]],"")</f>
        <v/>
      </c>
      <c r="L37" s="8" t="str">
        <f>IF(OR(tblOnboarding[[#This Row],[Status]]="Completed",tblOnboarding[[#This Row],[Due Date]]=""),"No",IF(AND(tblOnboarding[[#This Row],[Due Date]]&gt;=ReportDate,tblOnboarding[[#This Row],[Due Date]]&lt;=ReportDate+DueSoonDays),"Yes","No"))</f>
        <v>No</v>
      </c>
      <c r="M37" s="5"/>
    </row>
    <row r="38" spans="1:13" x14ac:dyDescent="0.3">
      <c r="A38" s="5" t="s">
        <v>223</v>
      </c>
      <c r="B38" s="5" t="s">
        <v>105</v>
      </c>
      <c r="C38" s="5" t="str">
        <f>IFERROR(INDEX(tblEmployees[Employee Name],MATCH(tblOnboarding[[#This Row],[Employee ID]],tblEmployees[Employee ID],0)),"ID not found")</f>
        <v>Pooja Thakur</v>
      </c>
      <c r="D38" s="5" t="str">
        <f>IFERROR(INDEX(tblEmployees[Department],MATCH(tblOnboarding[[#This Row],[Employee ID]],tblEmployees[Employee ID],0)),"")</f>
        <v>Operations</v>
      </c>
      <c r="E38" s="5" t="s">
        <v>179</v>
      </c>
      <c r="F38" s="5" t="s">
        <v>168</v>
      </c>
      <c r="G38" s="6">
        <v>46283</v>
      </c>
      <c r="H38" s="6">
        <v>46283</v>
      </c>
      <c r="I38" s="8" t="s">
        <v>169</v>
      </c>
      <c r="J38" s="8" t="str">
        <f>IF(OR(tblOnboarding[[#This Row],[Status]]="Completed",tblOnboarding[[#This Row],[Due Date]]=""),"No",IF(tblOnboarding[[#This Row],[Due Date]]&lt;ReportDate,"Yes","No"))</f>
        <v>No</v>
      </c>
      <c r="K38" s="9" t="str">
        <f>IF(tblOnboarding[[#This Row],[Overdue]]="Yes",ReportDate-tblOnboarding[[#This Row],[Due Date]],"")</f>
        <v/>
      </c>
      <c r="L38" s="8" t="str">
        <f>IF(OR(tblOnboarding[[#This Row],[Status]]="Completed",tblOnboarding[[#This Row],[Due Date]]=""),"No",IF(AND(tblOnboarding[[#This Row],[Due Date]]&gt;=ReportDate,tblOnboarding[[#This Row],[Due Date]]&lt;=ReportDate+DueSoonDays),"Yes","No"))</f>
        <v>No</v>
      </c>
      <c r="M38" s="5"/>
    </row>
    <row r="39" spans="1:13" x14ac:dyDescent="0.3">
      <c r="A39" s="5" t="s">
        <v>224</v>
      </c>
      <c r="B39" s="5" t="s">
        <v>105</v>
      </c>
      <c r="C39" s="5" t="str">
        <f>IFERROR(INDEX(tblEmployees[Employee Name],MATCH(tblOnboarding[[#This Row],[Employee ID]],tblEmployees[Employee ID],0)),"ID not found")</f>
        <v>Pooja Thakur</v>
      </c>
      <c r="D39" s="5" t="str">
        <f>IFERROR(INDEX(tblEmployees[Department],MATCH(tblOnboarding[[#This Row],[Employee ID]],tblEmployees[Employee ID],0)),"")</f>
        <v>Operations</v>
      </c>
      <c r="E39" s="5" t="s">
        <v>181</v>
      </c>
      <c r="F39" s="5" t="s">
        <v>182</v>
      </c>
      <c r="G39" s="6">
        <v>46286</v>
      </c>
      <c r="H39" s="6">
        <v>46287</v>
      </c>
      <c r="I39" s="8" t="s">
        <v>169</v>
      </c>
      <c r="J39" s="8" t="str">
        <f>IF(OR(tblOnboarding[[#This Row],[Status]]="Completed",tblOnboarding[[#This Row],[Due Date]]=""),"No",IF(tblOnboarding[[#This Row],[Due Date]]&lt;ReportDate,"Yes","No"))</f>
        <v>No</v>
      </c>
      <c r="K39" s="9" t="str">
        <f>IF(tblOnboarding[[#This Row],[Overdue]]="Yes",ReportDate-tblOnboarding[[#This Row],[Due Date]],"")</f>
        <v/>
      </c>
      <c r="L39" s="8" t="str">
        <f>IF(OR(tblOnboarding[[#This Row],[Status]]="Completed",tblOnboarding[[#This Row],[Due Date]]=""),"No",IF(AND(tblOnboarding[[#This Row],[Due Date]]&gt;=ReportDate,tblOnboarding[[#This Row],[Due Date]]&lt;=ReportDate+DueSoonDays),"Yes","No"))</f>
        <v>No</v>
      </c>
      <c r="M39" s="5"/>
    </row>
    <row r="40" spans="1:13" x14ac:dyDescent="0.3">
      <c r="A40" s="5" t="s">
        <v>225</v>
      </c>
      <c r="B40" s="5" t="s">
        <v>105</v>
      </c>
      <c r="C40" s="5" t="str">
        <f>IFERROR(INDEX(tblEmployees[Employee Name],MATCH(tblOnboarding[[#This Row],[Employee ID]],tblEmployees[Employee ID],0)),"ID not found")</f>
        <v>Pooja Thakur</v>
      </c>
      <c r="D40" s="5" t="str">
        <f>IFERROR(INDEX(tblEmployees[Department],MATCH(tblOnboarding[[#This Row],[Employee ID]],tblEmployees[Employee ID],0)),"")</f>
        <v>Operations</v>
      </c>
      <c r="E40" s="5" t="s">
        <v>184</v>
      </c>
      <c r="F40" s="5" t="s">
        <v>5</v>
      </c>
      <c r="G40" s="6">
        <v>46288</v>
      </c>
      <c r="H40" s="6">
        <v>46293</v>
      </c>
      <c r="I40" s="8" t="s">
        <v>169</v>
      </c>
      <c r="J40" s="8" t="str">
        <f>IF(OR(tblOnboarding[[#This Row],[Status]]="Completed",tblOnboarding[[#This Row],[Due Date]]=""),"No",IF(tblOnboarding[[#This Row],[Due Date]]&lt;ReportDate,"Yes","No"))</f>
        <v>No</v>
      </c>
      <c r="K40" s="9" t="str">
        <f>IF(tblOnboarding[[#This Row],[Overdue]]="Yes",ReportDate-tblOnboarding[[#This Row],[Due Date]],"")</f>
        <v/>
      </c>
      <c r="L40" s="8" t="str">
        <f>IF(OR(tblOnboarding[[#This Row],[Status]]="Completed",tblOnboarding[[#This Row],[Due Date]]=""),"No",IF(AND(tblOnboarding[[#This Row],[Due Date]]&gt;=ReportDate,tblOnboarding[[#This Row],[Due Date]]&lt;=ReportDate+DueSoonDays),"Yes","No"))</f>
        <v>No</v>
      </c>
      <c r="M40" s="5"/>
    </row>
    <row r="41" spans="1:13" x14ac:dyDescent="0.3">
      <c r="A41" s="5" t="s">
        <v>226</v>
      </c>
      <c r="B41" s="5" t="s">
        <v>105</v>
      </c>
      <c r="C41" s="5" t="str">
        <f>IFERROR(INDEX(tblEmployees[Employee Name],MATCH(tblOnboarding[[#This Row],[Employee ID]],tblEmployees[Employee ID],0)),"ID not found")</f>
        <v>Pooja Thakur</v>
      </c>
      <c r="D41" s="5" t="str">
        <f>IFERROR(INDEX(tblEmployees[Department],MATCH(tblOnboarding[[#This Row],[Employee ID]],tblEmployees[Employee ID],0)),"")</f>
        <v>Operations</v>
      </c>
      <c r="E41" s="5" t="s">
        <v>186</v>
      </c>
      <c r="F41" s="5" t="s">
        <v>168</v>
      </c>
      <c r="G41" s="6">
        <v>46295</v>
      </c>
      <c r="H41" s="6"/>
      <c r="I41" s="8" t="s">
        <v>187</v>
      </c>
      <c r="J41" s="8" t="str">
        <f>IF(OR(tblOnboarding[[#This Row],[Status]]="Completed",tblOnboarding[[#This Row],[Due Date]]=""),"No",IF(tblOnboarding[[#This Row],[Due Date]]&lt;ReportDate,"Yes","No"))</f>
        <v>Yes</v>
      </c>
      <c r="K41" s="9">
        <f>IF(tblOnboarding[[#This Row],[Overdue]]="Yes",ReportDate-tblOnboarding[[#This Row],[Due Date]],"")</f>
        <v>16</v>
      </c>
      <c r="L41" s="8" t="str">
        <f>IF(OR(tblOnboarding[[#This Row],[Status]]="Completed",tblOnboarding[[#This Row],[Due Date]]=""),"No",IF(AND(tblOnboarding[[#This Row],[Due Date]]&gt;=ReportDate,tblOnboarding[[#This Row],[Due Date]]&lt;=ReportDate+DueSoonDays),"Yes","No"))</f>
        <v>No</v>
      </c>
      <c r="M41" s="5" t="s">
        <v>227</v>
      </c>
    </row>
    <row r="42" spans="1:13" x14ac:dyDescent="0.3">
      <c r="A42" s="5" t="s">
        <v>228</v>
      </c>
      <c r="B42" s="5" t="s">
        <v>149</v>
      </c>
      <c r="C42" s="5" t="str">
        <f>IFERROR(INDEX(tblEmployees[Employee Name],MATCH(tblOnboarding[[#This Row],[Employee ID]],tblEmployees[Employee ID],0)),"ID not found")</f>
        <v>Vaishnavi Pillai</v>
      </c>
      <c r="D42" s="5" t="str">
        <f>IFERROR(INDEX(tblEmployees[Department],MATCH(tblOnboarding[[#This Row],[Employee ID]],tblEmployees[Employee ID],0)),"")</f>
        <v>Customer Support</v>
      </c>
      <c r="E42" s="5" t="s">
        <v>167</v>
      </c>
      <c r="F42" s="5" t="s">
        <v>168</v>
      </c>
      <c r="G42" s="6">
        <v>46287</v>
      </c>
      <c r="H42" s="6">
        <v>46289</v>
      </c>
      <c r="I42" s="8" t="s">
        <v>169</v>
      </c>
      <c r="J42" s="8" t="str">
        <f>IF(OR(tblOnboarding[[#This Row],[Status]]="Completed",tblOnboarding[[#This Row],[Due Date]]=""),"No",IF(tblOnboarding[[#This Row],[Due Date]]&lt;ReportDate,"Yes","No"))</f>
        <v>No</v>
      </c>
      <c r="K42" s="9" t="str">
        <f>IF(tblOnboarding[[#This Row],[Overdue]]="Yes",ReportDate-tblOnboarding[[#This Row],[Due Date]],"")</f>
        <v/>
      </c>
      <c r="L42" s="8" t="str">
        <f>IF(OR(tblOnboarding[[#This Row],[Status]]="Completed",tblOnboarding[[#This Row],[Due Date]]=""),"No",IF(AND(tblOnboarding[[#This Row],[Due Date]]&gt;=ReportDate,tblOnboarding[[#This Row],[Due Date]]&lt;=ReportDate+DueSoonDays),"Yes","No"))</f>
        <v>No</v>
      </c>
      <c r="M42" s="5" t="s">
        <v>196</v>
      </c>
    </row>
    <row r="43" spans="1:13" x14ac:dyDescent="0.3">
      <c r="A43" s="5" t="s">
        <v>229</v>
      </c>
      <c r="B43" s="5" t="s">
        <v>149</v>
      </c>
      <c r="C43" s="5" t="str">
        <f>IFERROR(INDEX(tblEmployees[Employee Name],MATCH(tblOnboarding[[#This Row],[Employee ID]],tblEmployees[Employee ID],0)),"ID not found")</f>
        <v>Vaishnavi Pillai</v>
      </c>
      <c r="D43" s="5" t="str">
        <f>IFERROR(INDEX(tblEmployees[Department],MATCH(tblOnboarding[[#This Row],[Employee ID]],tblEmployees[Employee ID],0)),"")</f>
        <v>Customer Support</v>
      </c>
      <c r="E43" s="5" t="s">
        <v>172</v>
      </c>
      <c r="F43" s="5" t="s">
        <v>168</v>
      </c>
      <c r="G43" s="6">
        <v>46288</v>
      </c>
      <c r="H43" s="6">
        <v>46293</v>
      </c>
      <c r="I43" s="8" t="s">
        <v>169</v>
      </c>
      <c r="J43" s="8" t="str">
        <f>IF(OR(tblOnboarding[[#This Row],[Status]]="Completed",tblOnboarding[[#This Row],[Due Date]]=""),"No",IF(tblOnboarding[[#This Row],[Due Date]]&lt;ReportDate,"Yes","No"))</f>
        <v>No</v>
      </c>
      <c r="K43" s="9" t="str">
        <f>IF(tblOnboarding[[#This Row],[Overdue]]="Yes",ReportDate-tblOnboarding[[#This Row],[Due Date]],"")</f>
        <v/>
      </c>
      <c r="L43" s="8" t="str">
        <f>IF(OR(tblOnboarding[[#This Row],[Status]]="Completed",tblOnboarding[[#This Row],[Due Date]]=""),"No",IF(AND(tblOnboarding[[#This Row],[Due Date]]&gt;=ReportDate,tblOnboarding[[#This Row],[Due Date]]&lt;=ReportDate+DueSoonDays),"Yes","No"))</f>
        <v>No</v>
      </c>
      <c r="M43" s="5"/>
    </row>
    <row r="44" spans="1:13" x14ac:dyDescent="0.3">
      <c r="A44" s="5" t="s">
        <v>230</v>
      </c>
      <c r="B44" s="5" t="s">
        <v>149</v>
      </c>
      <c r="C44" s="5" t="str">
        <f>IFERROR(INDEX(tblEmployees[Employee Name],MATCH(tblOnboarding[[#This Row],[Employee ID]],tblEmployees[Employee ID],0)),"ID not found")</f>
        <v>Vaishnavi Pillai</v>
      </c>
      <c r="D44" s="5" t="str">
        <f>IFERROR(INDEX(tblEmployees[Department],MATCH(tblOnboarding[[#This Row],[Employee ID]],tblEmployees[Employee ID],0)),"")</f>
        <v>Customer Support</v>
      </c>
      <c r="E44" s="5" t="s">
        <v>174</v>
      </c>
      <c r="F44" s="5" t="s">
        <v>175</v>
      </c>
      <c r="G44" s="6">
        <v>46287</v>
      </c>
      <c r="H44" s="6">
        <v>46287</v>
      </c>
      <c r="I44" s="8" t="s">
        <v>169</v>
      </c>
      <c r="J44" s="8" t="str">
        <f>IF(OR(tblOnboarding[[#This Row],[Status]]="Completed",tblOnboarding[[#This Row],[Due Date]]=""),"No",IF(tblOnboarding[[#This Row],[Due Date]]&lt;ReportDate,"Yes","No"))</f>
        <v>No</v>
      </c>
      <c r="K44" s="9" t="str">
        <f>IF(tblOnboarding[[#This Row],[Overdue]]="Yes",ReportDate-tblOnboarding[[#This Row],[Due Date]],"")</f>
        <v/>
      </c>
      <c r="L44" s="8" t="str">
        <f>IF(OR(tblOnboarding[[#This Row],[Status]]="Completed",tblOnboarding[[#This Row],[Due Date]]=""),"No",IF(AND(tblOnboarding[[#This Row],[Due Date]]&gt;=ReportDate,tblOnboarding[[#This Row],[Due Date]]&lt;=ReportDate+DueSoonDays),"Yes","No"))</f>
        <v>No</v>
      </c>
      <c r="M44" s="5"/>
    </row>
    <row r="45" spans="1:13" x14ac:dyDescent="0.3">
      <c r="A45" s="5" t="s">
        <v>231</v>
      </c>
      <c r="B45" s="5" t="s">
        <v>149</v>
      </c>
      <c r="C45" s="5" t="str">
        <f>IFERROR(INDEX(tblEmployees[Employee Name],MATCH(tblOnboarding[[#This Row],[Employee ID]],tblEmployees[Employee ID],0)),"ID not found")</f>
        <v>Vaishnavi Pillai</v>
      </c>
      <c r="D45" s="5" t="str">
        <f>IFERROR(INDEX(tblEmployees[Department],MATCH(tblOnboarding[[#This Row],[Employee ID]],tblEmployees[Employee ID],0)),"")</f>
        <v>Customer Support</v>
      </c>
      <c r="E45" s="5" t="s">
        <v>177</v>
      </c>
      <c r="F45" s="5" t="s">
        <v>168</v>
      </c>
      <c r="G45" s="6">
        <v>46289</v>
      </c>
      <c r="H45" s="6"/>
      <c r="I45" s="8" t="s">
        <v>187</v>
      </c>
      <c r="J45" s="8" t="str">
        <f>IF(OR(tblOnboarding[[#This Row],[Status]]="Completed",tblOnboarding[[#This Row],[Due Date]]=""),"No",IF(tblOnboarding[[#This Row],[Due Date]]&lt;ReportDate,"Yes","No"))</f>
        <v>Yes</v>
      </c>
      <c r="K45" s="9">
        <f>IF(tblOnboarding[[#This Row],[Overdue]]="Yes",ReportDate-tblOnboarding[[#This Row],[Due Date]],"")</f>
        <v>22</v>
      </c>
      <c r="L45" s="8" t="str">
        <f>IF(OR(tblOnboarding[[#This Row],[Status]]="Completed",tblOnboarding[[#This Row],[Due Date]]=""),"No",IF(AND(tblOnboarding[[#This Row],[Due Date]]&gt;=ReportDate,tblOnboarding[[#This Row],[Due Date]]&lt;=ReportDate+DueSoonDays),"Yes","No"))</f>
        <v>No</v>
      </c>
      <c r="M45" s="5" t="s">
        <v>232</v>
      </c>
    </row>
    <row r="46" spans="1:13" x14ac:dyDescent="0.3">
      <c r="A46" s="5" t="s">
        <v>233</v>
      </c>
      <c r="B46" s="5" t="s">
        <v>149</v>
      </c>
      <c r="C46" s="5" t="str">
        <f>IFERROR(INDEX(tblEmployees[Employee Name],MATCH(tblOnboarding[[#This Row],[Employee ID]],tblEmployees[Employee ID],0)),"ID not found")</f>
        <v>Vaishnavi Pillai</v>
      </c>
      <c r="D46" s="5" t="str">
        <f>IFERROR(INDEX(tblEmployees[Department],MATCH(tblOnboarding[[#This Row],[Employee ID]],tblEmployees[Employee ID],0)),"")</f>
        <v>Customer Support</v>
      </c>
      <c r="E46" s="5" t="s">
        <v>179</v>
      </c>
      <c r="F46" s="5" t="s">
        <v>168</v>
      </c>
      <c r="G46" s="6">
        <v>46288</v>
      </c>
      <c r="H46" s="6">
        <v>46288</v>
      </c>
      <c r="I46" s="8" t="s">
        <v>169</v>
      </c>
      <c r="J46" s="8" t="str">
        <f>IF(OR(tblOnboarding[[#This Row],[Status]]="Completed",tblOnboarding[[#This Row],[Due Date]]=""),"No",IF(tblOnboarding[[#This Row],[Due Date]]&lt;ReportDate,"Yes","No"))</f>
        <v>No</v>
      </c>
      <c r="K46" s="9" t="str">
        <f>IF(tblOnboarding[[#This Row],[Overdue]]="Yes",ReportDate-tblOnboarding[[#This Row],[Due Date]],"")</f>
        <v/>
      </c>
      <c r="L46" s="8" t="str">
        <f>IF(OR(tblOnboarding[[#This Row],[Status]]="Completed",tblOnboarding[[#This Row],[Due Date]]=""),"No",IF(AND(tblOnboarding[[#This Row],[Due Date]]&gt;=ReportDate,tblOnboarding[[#This Row],[Due Date]]&lt;=ReportDate+DueSoonDays),"Yes","No"))</f>
        <v>No</v>
      </c>
      <c r="M46" s="5"/>
    </row>
    <row r="47" spans="1:13" x14ac:dyDescent="0.3">
      <c r="A47" s="5" t="s">
        <v>234</v>
      </c>
      <c r="B47" s="5" t="s">
        <v>149</v>
      </c>
      <c r="C47" s="5" t="str">
        <f>IFERROR(INDEX(tblEmployees[Employee Name],MATCH(tblOnboarding[[#This Row],[Employee ID]],tblEmployees[Employee ID],0)),"ID not found")</f>
        <v>Vaishnavi Pillai</v>
      </c>
      <c r="D47" s="5" t="str">
        <f>IFERROR(INDEX(tblEmployees[Department],MATCH(tblOnboarding[[#This Row],[Employee ID]],tblEmployees[Employee ID],0)),"")</f>
        <v>Customer Support</v>
      </c>
      <c r="E47" s="5" t="s">
        <v>181</v>
      </c>
      <c r="F47" s="5" t="s">
        <v>182</v>
      </c>
      <c r="G47" s="6">
        <v>46293</v>
      </c>
      <c r="H47" s="6">
        <v>46293</v>
      </c>
      <c r="I47" s="8" t="s">
        <v>169</v>
      </c>
      <c r="J47" s="8" t="str">
        <f>IF(OR(tblOnboarding[[#This Row],[Status]]="Completed",tblOnboarding[[#This Row],[Due Date]]=""),"No",IF(tblOnboarding[[#This Row],[Due Date]]&lt;ReportDate,"Yes","No"))</f>
        <v>No</v>
      </c>
      <c r="K47" s="9" t="str">
        <f>IF(tblOnboarding[[#This Row],[Overdue]]="Yes",ReportDate-tblOnboarding[[#This Row],[Due Date]],"")</f>
        <v/>
      </c>
      <c r="L47" s="8" t="str">
        <f>IF(OR(tblOnboarding[[#This Row],[Status]]="Completed",tblOnboarding[[#This Row],[Due Date]]=""),"No",IF(AND(tblOnboarding[[#This Row],[Due Date]]&gt;=ReportDate,tblOnboarding[[#This Row],[Due Date]]&lt;=ReportDate+DueSoonDays),"Yes","No"))</f>
        <v>No</v>
      </c>
      <c r="M47" s="5"/>
    </row>
    <row r="48" spans="1:13" x14ac:dyDescent="0.3">
      <c r="A48" s="5" t="s">
        <v>235</v>
      </c>
      <c r="B48" s="5" t="s">
        <v>149</v>
      </c>
      <c r="C48" s="5" t="str">
        <f>IFERROR(INDEX(tblEmployees[Employee Name],MATCH(tblOnboarding[[#This Row],[Employee ID]],tblEmployees[Employee ID],0)),"ID not found")</f>
        <v>Vaishnavi Pillai</v>
      </c>
      <c r="D48" s="5" t="str">
        <f>IFERROR(INDEX(tblEmployees[Department],MATCH(tblOnboarding[[#This Row],[Employee ID]],tblEmployees[Employee ID],0)),"")</f>
        <v>Customer Support</v>
      </c>
      <c r="E48" s="5" t="s">
        <v>184</v>
      </c>
      <c r="F48" s="5" t="s">
        <v>5</v>
      </c>
      <c r="G48" s="6">
        <v>46293</v>
      </c>
      <c r="H48" s="6">
        <v>46296</v>
      </c>
      <c r="I48" s="8" t="s">
        <v>169</v>
      </c>
      <c r="J48" s="8" t="str">
        <f>IF(OR(tblOnboarding[[#This Row],[Status]]="Completed",tblOnboarding[[#This Row],[Due Date]]=""),"No",IF(tblOnboarding[[#This Row],[Due Date]]&lt;ReportDate,"Yes","No"))</f>
        <v>No</v>
      </c>
      <c r="K48" s="9" t="str">
        <f>IF(tblOnboarding[[#This Row],[Overdue]]="Yes",ReportDate-tblOnboarding[[#This Row],[Due Date]],"")</f>
        <v/>
      </c>
      <c r="L48" s="8" t="str">
        <f>IF(OR(tblOnboarding[[#This Row],[Status]]="Completed",tblOnboarding[[#This Row],[Due Date]]=""),"No",IF(AND(tblOnboarding[[#This Row],[Due Date]]&gt;=ReportDate,tblOnboarding[[#This Row],[Due Date]]&lt;=ReportDate+DueSoonDays),"Yes","No"))</f>
        <v>No</v>
      </c>
      <c r="M48" s="5"/>
    </row>
    <row r="49" spans="1:13" x14ac:dyDescent="0.3">
      <c r="A49" s="5" t="s">
        <v>236</v>
      </c>
      <c r="B49" s="5" t="s">
        <v>149</v>
      </c>
      <c r="C49" s="5" t="str">
        <f>IFERROR(INDEX(tblEmployees[Employee Name],MATCH(tblOnboarding[[#This Row],[Employee ID]],tblEmployees[Employee ID],0)),"ID not found")</f>
        <v>Vaishnavi Pillai</v>
      </c>
      <c r="D49" s="5" t="str">
        <f>IFERROR(INDEX(tblEmployees[Department],MATCH(tblOnboarding[[#This Row],[Employee ID]],tblEmployees[Employee ID],0)),"")</f>
        <v>Customer Support</v>
      </c>
      <c r="E49" s="5" t="s">
        <v>186</v>
      </c>
      <c r="F49" s="5" t="s">
        <v>168</v>
      </c>
      <c r="G49" s="6">
        <v>46300</v>
      </c>
      <c r="H49" s="6"/>
      <c r="I49" s="8" t="s">
        <v>187</v>
      </c>
      <c r="J49" s="8" t="str">
        <f>IF(OR(tblOnboarding[[#This Row],[Status]]="Completed",tblOnboarding[[#This Row],[Due Date]]=""),"No",IF(tblOnboarding[[#This Row],[Due Date]]&lt;ReportDate,"Yes","No"))</f>
        <v>Yes</v>
      </c>
      <c r="K49" s="9">
        <f>IF(tblOnboarding[[#This Row],[Overdue]]="Yes",ReportDate-tblOnboarding[[#This Row],[Due Date]],"")</f>
        <v>11</v>
      </c>
      <c r="L49" s="8" t="str">
        <f>IF(OR(tblOnboarding[[#This Row],[Status]]="Completed",tblOnboarding[[#This Row],[Due Date]]=""),"No",IF(AND(tblOnboarding[[#This Row],[Due Date]]&gt;=ReportDate,tblOnboarding[[#This Row],[Due Date]]&lt;=ReportDate+DueSoonDays),"Yes","No"))</f>
        <v>No</v>
      </c>
      <c r="M49" s="5" t="s">
        <v>218</v>
      </c>
    </row>
    <row r="50" spans="1:13" x14ac:dyDescent="0.3">
      <c r="A50" s="5" t="s">
        <v>237</v>
      </c>
      <c r="B50" s="5" t="s">
        <v>85</v>
      </c>
      <c r="C50" s="5" t="str">
        <f>IFERROR(INDEX(tblEmployees[Employee Name],MATCH(tblOnboarding[[#This Row],[Employee ID]],tblEmployees[Employee ID],0)),"ID not found")</f>
        <v>Manoj Nair</v>
      </c>
      <c r="D50" s="5" t="str">
        <f>IFERROR(INDEX(tblEmployees[Department],MATCH(tblOnboarding[[#This Row],[Employee ID]],tblEmployees[Employee ID],0)),"")</f>
        <v>Information Technology</v>
      </c>
      <c r="E50" s="5" t="s">
        <v>167</v>
      </c>
      <c r="F50" s="5" t="s">
        <v>168</v>
      </c>
      <c r="G50" s="6">
        <v>46287</v>
      </c>
      <c r="H50" s="6">
        <v>46293</v>
      </c>
      <c r="I50" s="8" t="s">
        <v>169</v>
      </c>
      <c r="J50" s="8" t="str">
        <f>IF(OR(tblOnboarding[[#This Row],[Status]]="Completed",tblOnboarding[[#This Row],[Due Date]]=""),"No",IF(tblOnboarding[[#This Row],[Due Date]]&lt;ReportDate,"Yes","No"))</f>
        <v>No</v>
      </c>
      <c r="K50" s="9" t="str">
        <f>IF(tblOnboarding[[#This Row],[Overdue]]="Yes",ReportDate-tblOnboarding[[#This Row],[Due Date]],"")</f>
        <v/>
      </c>
      <c r="L50" s="8" t="str">
        <f>IF(OR(tblOnboarding[[#This Row],[Status]]="Completed",tblOnboarding[[#This Row],[Due Date]]=""),"No",IF(AND(tblOnboarding[[#This Row],[Due Date]]&gt;=ReportDate,tblOnboarding[[#This Row],[Due Date]]&lt;=ReportDate+DueSoonDays),"Yes","No"))</f>
        <v>No</v>
      </c>
      <c r="M50" s="5"/>
    </row>
    <row r="51" spans="1:13" x14ac:dyDescent="0.3">
      <c r="A51" s="5" t="s">
        <v>238</v>
      </c>
      <c r="B51" s="5" t="s">
        <v>85</v>
      </c>
      <c r="C51" s="5" t="str">
        <f>IFERROR(INDEX(tblEmployees[Employee Name],MATCH(tblOnboarding[[#This Row],[Employee ID]],tblEmployees[Employee ID],0)),"ID not found")</f>
        <v>Manoj Nair</v>
      </c>
      <c r="D51" s="5" t="str">
        <f>IFERROR(INDEX(tblEmployees[Department],MATCH(tblOnboarding[[#This Row],[Employee ID]],tblEmployees[Employee ID],0)),"")</f>
        <v>Information Technology</v>
      </c>
      <c r="E51" s="5" t="s">
        <v>172</v>
      </c>
      <c r="F51" s="5" t="s">
        <v>168</v>
      </c>
      <c r="G51" s="6">
        <v>46288</v>
      </c>
      <c r="H51" s="6">
        <v>46288</v>
      </c>
      <c r="I51" s="8" t="s">
        <v>169</v>
      </c>
      <c r="J51" s="8" t="str">
        <f>IF(OR(tblOnboarding[[#This Row],[Status]]="Completed",tblOnboarding[[#This Row],[Due Date]]=""),"No",IF(tblOnboarding[[#This Row],[Due Date]]&lt;ReportDate,"Yes","No"))</f>
        <v>No</v>
      </c>
      <c r="K51" s="9" t="str">
        <f>IF(tblOnboarding[[#This Row],[Overdue]]="Yes",ReportDate-tblOnboarding[[#This Row],[Due Date]],"")</f>
        <v/>
      </c>
      <c r="L51" s="8" t="str">
        <f>IF(OR(tblOnboarding[[#This Row],[Status]]="Completed",tblOnboarding[[#This Row],[Due Date]]=""),"No",IF(AND(tblOnboarding[[#This Row],[Due Date]]&gt;=ReportDate,tblOnboarding[[#This Row],[Due Date]]&lt;=ReportDate+DueSoonDays),"Yes","No"))</f>
        <v>No</v>
      </c>
      <c r="M51" s="5"/>
    </row>
    <row r="52" spans="1:13" x14ac:dyDescent="0.3">
      <c r="A52" s="5" t="s">
        <v>239</v>
      </c>
      <c r="B52" s="5" t="s">
        <v>85</v>
      </c>
      <c r="C52" s="5" t="str">
        <f>IFERROR(INDEX(tblEmployees[Employee Name],MATCH(tblOnboarding[[#This Row],[Employee ID]],tblEmployees[Employee ID],0)),"ID not found")</f>
        <v>Manoj Nair</v>
      </c>
      <c r="D52" s="5" t="str">
        <f>IFERROR(INDEX(tblEmployees[Department],MATCH(tblOnboarding[[#This Row],[Employee ID]],tblEmployees[Employee ID],0)),"")</f>
        <v>Information Technology</v>
      </c>
      <c r="E52" s="5" t="s">
        <v>174</v>
      </c>
      <c r="F52" s="5" t="s">
        <v>175</v>
      </c>
      <c r="G52" s="6">
        <v>46287</v>
      </c>
      <c r="H52" s="6">
        <v>46290</v>
      </c>
      <c r="I52" s="8" t="s">
        <v>169</v>
      </c>
      <c r="J52" s="8" t="str">
        <f>IF(OR(tblOnboarding[[#This Row],[Status]]="Completed",tblOnboarding[[#This Row],[Due Date]]=""),"No",IF(tblOnboarding[[#This Row],[Due Date]]&lt;ReportDate,"Yes","No"))</f>
        <v>No</v>
      </c>
      <c r="K52" s="9" t="str">
        <f>IF(tblOnboarding[[#This Row],[Overdue]]="Yes",ReportDate-tblOnboarding[[#This Row],[Due Date]],"")</f>
        <v/>
      </c>
      <c r="L52" s="8" t="str">
        <f>IF(OR(tblOnboarding[[#This Row],[Status]]="Completed",tblOnboarding[[#This Row],[Due Date]]=""),"No",IF(AND(tblOnboarding[[#This Row],[Due Date]]&gt;=ReportDate,tblOnboarding[[#This Row],[Due Date]]&lt;=ReportDate+DueSoonDays),"Yes","No"))</f>
        <v>No</v>
      </c>
      <c r="M52" s="5" t="s">
        <v>196</v>
      </c>
    </row>
    <row r="53" spans="1:13" x14ac:dyDescent="0.3">
      <c r="A53" s="5" t="s">
        <v>240</v>
      </c>
      <c r="B53" s="5" t="s">
        <v>85</v>
      </c>
      <c r="C53" s="5" t="str">
        <f>IFERROR(INDEX(tblEmployees[Employee Name],MATCH(tblOnboarding[[#This Row],[Employee ID]],tblEmployees[Employee ID],0)),"ID not found")</f>
        <v>Manoj Nair</v>
      </c>
      <c r="D53" s="5" t="str">
        <f>IFERROR(INDEX(tblEmployees[Department],MATCH(tblOnboarding[[#This Row],[Employee ID]],tblEmployees[Employee ID],0)),"")</f>
        <v>Information Technology</v>
      </c>
      <c r="E53" s="5" t="s">
        <v>177</v>
      </c>
      <c r="F53" s="5" t="s">
        <v>168</v>
      </c>
      <c r="G53" s="6">
        <v>46289</v>
      </c>
      <c r="H53" s="6">
        <v>46288</v>
      </c>
      <c r="I53" s="8" t="s">
        <v>169</v>
      </c>
      <c r="J53" s="8" t="str">
        <f>IF(OR(tblOnboarding[[#This Row],[Status]]="Completed",tblOnboarding[[#This Row],[Due Date]]=""),"No",IF(tblOnboarding[[#This Row],[Due Date]]&lt;ReportDate,"Yes","No"))</f>
        <v>No</v>
      </c>
      <c r="K53" s="9" t="str">
        <f>IF(tblOnboarding[[#This Row],[Overdue]]="Yes",ReportDate-tblOnboarding[[#This Row],[Due Date]],"")</f>
        <v/>
      </c>
      <c r="L53" s="8" t="str">
        <f>IF(OR(tblOnboarding[[#This Row],[Status]]="Completed",tblOnboarding[[#This Row],[Due Date]]=""),"No",IF(AND(tblOnboarding[[#This Row],[Due Date]]&gt;=ReportDate,tblOnboarding[[#This Row],[Due Date]]&lt;=ReportDate+DueSoonDays),"Yes","No"))</f>
        <v>No</v>
      </c>
      <c r="M53" s="5"/>
    </row>
    <row r="54" spans="1:13" x14ac:dyDescent="0.3">
      <c r="A54" s="5" t="s">
        <v>241</v>
      </c>
      <c r="B54" s="5" t="s">
        <v>85</v>
      </c>
      <c r="C54" s="5" t="str">
        <f>IFERROR(INDEX(tblEmployees[Employee Name],MATCH(tblOnboarding[[#This Row],[Employee ID]],tblEmployees[Employee ID],0)),"ID not found")</f>
        <v>Manoj Nair</v>
      </c>
      <c r="D54" s="5" t="str">
        <f>IFERROR(INDEX(tblEmployees[Department],MATCH(tblOnboarding[[#This Row],[Employee ID]],tblEmployees[Employee ID],0)),"")</f>
        <v>Information Technology</v>
      </c>
      <c r="E54" s="5" t="s">
        <v>179</v>
      </c>
      <c r="F54" s="5" t="s">
        <v>168</v>
      </c>
      <c r="G54" s="6">
        <v>46288</v>
      </c>
      <c r="H54" s="6">
        <v>46289</v>
      </c>
      <c r="I54" s="8" t="s">
        <v>169</v>
      </c>
      <c r="J54" s="8" t="str">
        <f>IF(OR(tblOnboarding[[#This Row],[Status]]="Completed",tblOnboarding[[#This Row],[Due Date]]=""),"No",IF(tblOnboarding[[#This Row],[Due Date]]&lt;ReportDate,"Yes","No"))</f>
        <v>No</v>
      </c>
      <c r="K54" s="9" t="str">
        <f>IF(tblOnboarding[[#This Row],[Overdue]]="Yes",ReportDate-tblOnboarding[[#This Row],[Due Date]],"")</f>
        <v/>
      </c>
      <c r="L54" s="8" t="str">
        <f>IF(OR(tblOnboarding[[#This Row],[Status]]="Completed",tblOnboarding[[#This Row],[Due Date]]=""),"No",IF(AND(tblOnboarding[[#This Row],[Due Date]]&gt;=ReportDate,tblOnboarding[[#This Row],[Due Date]]&lt;=ReportDate+DueSoonDays),"Yes","No"))</f>
        <v>No</v>
      </c>
      <c r="M54" s="5"/>
    </row>
    <row r="55" spans="1:13" x14ac:dyDescent="0.3">
      <c r="A55" s="5" t="s">
        <v>242</v>
      </c>
      <c r="B55" s="5" t="s">
        <v>85</v>
      </c>
      <c r="C55" s="5" t="str">
        <f>IFERROR(INDEX(tblEmployees[Employee Name],MATCH(tblOnboarding[[#This Row],[Employee ID]],tblEmployees[Employee ID],0)),"ID not found")</f>
        <v>Manoj Nair</v>
      </c>
      <c r="D55" s="5" t="str">
        <f>IFERROR(INDEX(tblEmployees[Department],MATCH(tblOnboarding[[#This Row],[Employee ID]],tblEmployees[Employee ID],0)),"")</f>
        <v>Information Technology</v>
      </c>
      <c r="E55" s="5" t="s">
        <v>181</v>
      </c>
      <c r="F55" s="5" t="s">
        <v>182</v>
      </c>
      <c r="G55" s="6">
        <v>46293</v>
      </c>
      <c r="H55" s="6">
        <v>46296</v>
      </c>
      <c r="I55" s="8" t="s">
        <v>169</v>
      </c>
      <c r="J55" s="8" t="str">
        <f>IF(OR(tblOnboarding[[#This Row],[Status]]="Completed",tblOnboarding[[#This Row],[Due Date]]=""),"No",IF(tblOnboarding[[#This Row],[Due Date]]&lt;ReportDate,"Yes","No"))</f>
        <v>No</v>
      </c>
      <c r="K55" s="9" t="str">
        <f>IF(tblOnboarding[[#This Row],[Overdue]]="Yes",ReportDate-tblOnboarding[[#This Row],[Due Date]],"")</f>
        <v/>
      </c>
      <c r="L55" s="8" t="str">
        <f>IF(OR(tblOnboarding[[#This Row],[Status]]="Completed",tblOnboarding[[#This Row],[Due Date]]=""),"No",IF(AND(tblOnboarding[[#This Row],[Due Date]]&gt;=ReportDate,tblOnboarding[[#This Row],[Due Date]]&lt;=ReportDate+DueSoonDays),"Yes","No"))</f>
        <v>No</v>
      </c>
      <c r="M55" s="5"/>
    </row>
    <row r="56" spans="1:13" x14ac:dyDescent="0.3">
      <c r="A56" s="5" t="s">
        <v>243</v>
      </c>
      <c r="B56" s="5" t="s">
        <v>85</v>
      </c>
      <c r="C56" s="5" t="str">
        <f>IFERROR(INDEX(tblEmployees[Employee Name],MATCH(tblOnboarding[[#This Row],[Employee ID]],tblEmployees[Employee ID],0)),"ID not found")</f>
        <v>Manoj Nair</v>
      </c>
      <c r="D56" s="5" t="str">
        <f>IFERROR(INDEX(tblEmployees[Department],MATCH(tblOnboarding[[#This Row],[Employee ID]],tblEmployees[Employee ID],0)),"")</f>
        <v>Information Technology</v>
      </c>
      <c r="E56" s="5" t="s">
        <v>184</v>
      </c>
      <c r="F56" s="5" t="s">
        <v>5</v>
      </c>
      <c r="G56" s="6">
        <v>46293</v>
      </c>
      <c r="H56" s="6"/>
      <c r="I56" s="8" t="s">
        <v>205</v>
      </c>
      <c r="J56" s="8" t="str">
        <f>IF(OR(tblOnboarding[[#This Row],[Status]]="Completed",tblOnboarding[[#This Row],[Due Date]]=""),"No",IF(tblOnboarding[[#This Row],[Due Date]]&lt;ReportDate,"Yes","No"))</f>
        <v>Yes</v>
      </c>
      <c r="K56" s="9">
        <f>IF(tblOnboarding[[#This Row],[Overdue]]="Yes",ReportDate-tblOnboarding[[#This Row],[Due Date]],"")</f>
        <v>18</v>
      </c>
      <c r="L56" s="8" t="str">
        <f>IF(OR(tblOnboarding[[#This Row],[Status]]="Completed",tblOnboarding[[#This Row],[Due Date]]=""),"No",IF(AND(tblOnboarding[[#This Row],[Due Date]]&gt;=ReportDate,tblOnboarding[[#This Row],[Due Date]]&lt;=ReportDate+DueSoonDays),"Yes","No"))</f>
        <v>No</v>
      </c>
      <c r="M56" s="5" t="s">
        <v>244</v>
      </c>
    </row>
    <row r="57" spans="1:13" x14ac:dyDescent="0.3">
      <c r="A57" s="5" t="s">
        <v>245</v>
      </c>
      <c r="B57" s="5" t="s">
        <v>85</v>
      </c>
      <c r="C57" s="5" t="str">
        <f>IFERROR(INDEX(tblEmployees[Employee Name],MATCH(tblOnboarding[[#This Row],[Employee ID]],tblEmployees[Employee ID],0)),"ID not found")</f>
        <v>Manoj Nair</v>
      </c>
      <c r="D57" s="5" t="str">
        <f>IFERROR(INDEX(tblEmployees[Department],MATCH(tblOnboarding[[#This Row],[Employee ID]],tblEmployees[Employee ID],0)),"")</f>
        <v>Information Technology</v>
      </c>
      <c r="E57" s="5" t="s">
        <v>186</v>
      </c>
      <c r="F57" s="5" t="s">
        <v>168</v>
      </c>
      <c r="G57" s="6">
        <v>46300</v>
      </c>
      <c r="H57" s="6">
        <v>46300</v>
      </c>
      <c r="I57" s="8" t="s">
        <v>169</v>
      </c>
      <c r="J57" s="8" t="str">
        <f>IF(OR(tblOnboarding[[#This Row],[Status]]="Completed",tblOnboarding[[#This Row],[Due Date]]=""),"No",IF(tblOnboarding[[#This Row],[Due Date]]&lt;ReportDate,"Yes","No"))</f>
        <v>No</v>
      </c>
      <c r="K57" s="9" t="str">
        <f>IF(tblOnboarding[[#This Row],[Overdue]]="Yes",ReportDate-tblOnboarding[[#This Row],[Due Date]],"")</f>
        <v/>
      </c>
      <c r="L57" s="8" t="str">
        <f>IF(OR(tblOnboarding[[#This Row],[Status]]="Completed",tblOnboarding[[#This Row],[Due Date]]=""),"No",IF(AND(tblOnboarding[[#This Row],[Due Date]]&gt;=ReportDate,tblOnboarding[[#This Row],[Due Date]]&lt;=ReportDate+DueSoonDays),"Yes","No"))</f>
        <v>No</v>
      </c>
      <c r="M57" s="5"/>
    </row>
    <row r="58" spans="1:13" x14ac:dyDescent="0.3">
      <c r="A58" s="5" t="s">
        <v>246</v>
      </c>
      <c r="B58" s="5" t="s">
        <v>26</v>
      </c>
      <c r="C58" s="5" t="str">
        <f>IFERROR(INDEX(tblEmployees[Employee Name],MATCH(tblOnboarding[[#This Row],[Employee ID]],tblEmployees[Employee ID],0)),"ID not found")</f>
        <v>Amey Joshi</v>
      </c>
      <c r="D58" s="5" t="str">
        <f>IFERROR(INDEX(tblEmployees[Department],MATCH(tblOnboarding[[#This Row],[Employee ID]],tblEmployees[Employee ID],0)),"")</f>
        <v>Finance</v>
      </c>
      <c r="E58" s="5" t="s">
        <v>167</v>
      </c>
      <c r="F58" s="5" t="s">
        <v>168</v>
      </c>
      <c r="G58" s="6">
        <v>46294</v>
      </c>
      <c r="H58" s="6">
        <v>46300</v>
      </c>
      <c r="I58" s="8" t="s">
        <v>169</v>
      </c>
      <c r="J58" s="8" t="str">
        <f>IF(OR(tblOnboarding[[#This Row],[Status]]="Completed",tblOnboarding[[#This Row],[Due Date]]=""),"No",IF(tblOnboarding[[#This Row],[Due Date]]&lt;ReportDate,"Yes","No"))</f>
        <v>No</v>
      </c>
      <c r="K58" s="9" t="str">
        <f>IF(tblOnboarding[[#This Row],[Overdue]]="Yes",ReportDate-tblOnboarding[[#This Row],[Due Date]],"")</f>
        <v/>
      </c>
      <c r="L58" s="8" t="str">
        <f>IF(OR(tblOnboarding[[#This Row],[Status]]="Completed",tblOnboarding[[#This Row],[Due Date]]=""),"No",IF(AND(tblOnboarding[[#This Row],[Due Date]]&gt;=ReportDate,tblOnboarding[[#This Row],[Due Date]]&lt;=ReportDate+DueSoonDays),"Yes","No"))</f>
        <v>No</v>
      </c>
      <c r="M58" s="5"/>
    </row>
    <row r="59" spans="1:13" x14ac:dyDescent="0.3">
      <c r="A59" s="5" t="s">
        <v>247</v>
      </c>
      <c r="B59" s="5" t="s">
        <v>26</v>
      </c>
      <c r="C59" s="5" t="str">
        <f>IFERROR(INDEX(tblEmployees[Employee Name],MATCH(tblOnboarding[[#This Row],[Employee ID]],tblEmployees[Employee ID],0)),"ID not found")</f>
        <v>Amey Joshi</v>
      </c>
      <c r="D59" s="5" t="str">
        <f>IFERROR(INDEX(tblEmployees[Department],MATCH(tblOnboarding[[#This Row],[Employee ID]],tblEmployees[Employee ID],0)),"")</f>
        <v>Finance</v>
      </c>
      <c r="E59" s="5" t="s">
        <v>172</v>
      </c>
      <c r="F59" s="5" t="s">
        <v>168</v>
      </c>
      <c r="G59" s="6">
        <v>46295</v>
      </c>
      <c r="H59" s="6">
        <v>46296</v>
      </c>
      <c r="I59" s="8" t="s">
        <v>169</v>
      </c>
      <c r="J59" s="8" t="str">
        <f>IF(OR(tblOnboarding[[#This Row],[Status]]="Completed",tblOnboarding[[#This Row],[Due Date]]=""),"No",IF(tblOnboarding[[#This Row],[Due Date]]&lt;ReportDate,"Yes","No"))</f>
        <v>No</v>
      </c>
      <c r="K59" s="9" t="str">
        <f>IF(tblOnboarding[[#This Row],[Overdue]]="Yes",ReportDate-tblOnboarding[[#This Row],[Due Date]],"")</f>
        <v/>
      </c>
      <c r="L59" s="8" t="str">
        <f>IF(OR(tblOnboarding[[#This Row],[Status]]="Completed",tblOnboarding[[#This Row],[Due Date]]=""),"No",IF(AND(tblOnboarding[[#This Row],[Due Date]]&gt;=ReportDate,tblOnboarding[[#This Row],[Due Date]]&lt;=ReportDate+DueSoonDays),"Yes","No"))</f>
        <v>No</v>
      </c>
      <c r="M59" s="5" t="s">
        <v>196</v>
      </c>
    </row>
    <row r="60" spans="1:13" x14ac:dyDescent="0.3">
      <c r="A60" s="5" t="s">
        <v>248</v>
      </c>
      <c r="B60" s="5" t="s">
        <v>26</v>
      </c>
      <c r="C60" s="5" t="str">
        <f>IFERROR(INDEX(tblEmployees[Employee Name],MATCH(tblOnboarding[[#This Row],[Employee ID]],tblEmployees[Employee ID],0)),"ID not found")</f>
        <v>Amey Joshi</v>
      </c>
      <c r="D60" s="5" t="str">
        <f>IFERROR(INDEX(tblEmployees[Department],MATCH(tblOnboarding[[#This Row],[Employee ID]],tblEmployees[Employee ID],0)),"")</f>
        <v>Finance</v>
      </c>
      <c r="E60" s="5" t="s">
        <v>174</v>
      </c>
      <c r="F60" s="5" t="s">
        <v>175</v>
      </c>
      <c r="G60" s="6">
        <v>46294</v>
      </c>
      <c r="H60" s="6">
        <v>46294</v>
      </c>
      <c r="I60" s="8" t="s">
        <v>169</v>
      </c>
      <c r="J60" s="8" t="str">
        <f>IF(OR(tblOnboarding[[#This Row],[Status]]="Completed",tblOnboarding[[#This Row],[Due Date]]=""),"No",IF(tblOnboarding[[#This Row],[Due Date]]&lt;ReportDate,"Yes","No"))</f>
        <v>No</v>
      </c>
      <c r="K60" s="9" t="str">
        <f>IF(tblOnboarding[[#This Row],[Overdue]]="Yes",ReportDate-tblOnboarding[[#This Row],[Due Date]],"")</f>
        <v/>
      </c>
      <c r="L60" s="8" t="str">
        <f>IF(OR(tblOnboarding[[#This Row],[Status]]="Completed",tblOnboarding[[#This Row],[Due Date]]=""),"No",IF(AND(tblOnboarding[[#This Row],[Due Date]]&gt;=ReportDate,tblOnboarding[[#This Row],[Due Date]]&lt;=ReportDate+DueSoonDays),"Yes","No"))</f>
        <v>No</v>
      </c>
      <c r="M60" s="5"/>
    </row>
    <row r="61" spans="1:13" x14ac:dyDescent="0.3">
      <c r="A61" s="5" t="s">
        <v>249</v>
      </c>
      <c r="B61" s="5" t="s">
        <v>26</v>
      </c>
      <c r="C61" s="5" t="str">
        <f>IFERROR(INDEX(tblEmployees[Employee Name],MATCH(tblOnboarding[[#This Row],[Employee ID]],tblEmployees[Employee ID],0)),"ID not found")</f>
        <v>Amey Joshi</v>
      </c>
      <c r="D61" s="5" t="str">
        <f>IFERROR(INDEX(tblEmployees[Department],MATCH(tblOnboarding[[#This Row],[Employee ID]],tblEmployees[Employee ID],0)),"")</f>
        <v>Finance</v>
      </c>
      <c r="E61" s="5" t="s">
        <v>177</v>
      </c>
      <c r="F61" s="5" t="s">
        <v>168</v>
      </c>
      <c r="G61" s="6">
        <v>46296</v>
      </c>
      <c r="H61" s="6">
        <v>46297</v>
      </c>
      <c r="I61" s="8" t="s">
        <v>169</v>
      </c>
      <c r="J61" s="8" t="str">
        <f>IF(OR(tblOnboarding[[#This Row],[Status]]="Completed",tblOnboarding[[#This Row],[Due Date]]=""),"No",IF(tblOnboarding[[#This Row],[Due Date]]&lt;ReportDate,"Yes","No"))</f>
        <v>No</v>
      </c>
      <c r="K61" s="9" t="str">
        <f>IF(tblOnboarding[[#This Row],[Overdue]]="Yes",ReportDate-tblOnboarding[[#This Row],[Due Date]],"")</f>
        <v/>
      </c>
      <c r="L61" s="8" t="str">
        <f>IF(OR(tblOnboarding[[#This Row],[Status]]="Completed",tblOnboarding[[#This Row],[Due Date]]=""),"No",IF(AND(tblOnboarding[[#This Row],[Due Date]]&gt;=ReportDate,tblOnboarding[[#This Row],[Due Date]]&lt;=ReportDate+DueSoonDays),"Yes","No"))</f>
        <v>No</v>
      </c>
      <c r="M61" s="5"/>
    </row>
    <row r="62" spans="1:13" x14ac:dyDescent="0.3">
      <c r="A62" s="5" t="s">
        <v>250</v>
      </c>
      <c r="B62" s="5" t="s">
        <v>26</v>
      </c>
      <c r="C62" s="5" t="str">
        <f>IFERROR(INDEX(tblEmployees[Employee Name],MATCH(tblOnboarding[[#This Row],[Employee ID]],tblEmployees[Employee ID],0)),"ID not found")</f>
        <v>Amey Joshi</v>
      </c>
      <c r="D62" s="5" t="str">
        <f>IFERROR(INDEX(tblEmployees[Department],MATCH(tblOnboarding[[#This Row],[Employee ID]],tblEmployees[Employee ID],0)),"")</f>
        <v>Finance</v>
      </c>
      <c r="E62" s="5" t="s">
        <v>179</v>
      </c>
      <c r="F62" s="5" t="s">
        <v>168</v>
      </c>
      <c r="G62" s="6">
        <v>46295</v>
      </c>
      <c r="H62" s="6">
        <v>46300</v>
      </c>
      <c r="I62" s="8" t="s">
        <v>169</v>
      </c>
      <c r="J62" s="8" t="str">
        <f>IF(OR(tblOnboarding[[#This Row],[Status]]="Completed",tblOnboarding[[#This Row],[Due Date]]=""),"No",IF(tblOnboarding[[#This Row],[Due Date]]&lt;ReportDate,"Yes","No"))</f>
        <v>No</v>
      </c>
      <c r="K62" s="9" t="str">
        <f>IF(tblOnboarding[[#This Row],[Overdue]]="Yes",ReportDate-tblOnboarding[[#This Row],[Due Date]],"")</f>
        <v/>
      </c>
      <c r="L62" s="8" t="str">
        <f>IF(OR(tblOnboarding[[#This Row],[Status]]="Completed",tblOnboarding[[#This Row],[Due Date]]=""),"No",IF(AND(tblOnboarding[[#This Row],[Due Date]]&gt;=ReportDate,tblOnboarding[[#This Row],[Due Date]]&lt;=ReportDate+DueSoonDays),"Yes","No"))</f>
        <v>No</v>
      </c>
      <c r="M62" s="5" t="s">
        <v>170</v>
      </c>
    </row>
    <row r="63" spans="1:13" x14ac:dyDescent="0.3">
      <c r="A63" s="5" t="s">
        <v>251</v>
      </c>
      <c r="B63" s="5" t="s">
        <v>26</v>
      </c>
      <c r="C63" s="5" t="str">
        <f>IFERROR(INDEX(tblEmployees[Employee Name],MATCH(tblOnboarding[[#This Row],[Employee ID]],tblEmployees[Employee ID],0)),"ID not found")</f>
        <v>Amey Joshi</v>
      </c>
      <c r="D63" s="5" t="str">
        <f>IFERROR(INDEX(tblEmployees[Department],MATCH(tblOnboarding[[#This Row],[Employee ID]],tblEmployees[Employee ID],0)),"")</f>
        <v>Finance</v>
      </c>
      <c r="E63" s="5" t="s">
        <v>181</v>
      </c>
      <c r="F63" s="5" t="s">
        <v>182</v>
      </c>
      <c r="G63" s="6">
        <v>46300</v>
      </c>
      <c r="H63" s="6"/>
      <c r="I63" s="8" t="s">
        <v>187</v>
      </c>
      <c r="J63" s="8" t="str">
        <f>IF(OR(tblOnboarding[[#This Row],[Status]]="Completed",tblOnboarding[[#This Row],[Due Date]]=""),"No",IF(tblOnboarding[[#This Row],[Due Date]]&lt;ReportDate,"Yes","No"))</f>
        <v>Yes</v>
      </c>
      <c r="K63" s="9">
        <f>IF(tblOnboarding[[#This Row],[Overdue]]="Yes",ReportDate-tblOnboarding[[#This Row],[Due Date]],"")</f>
        <v>11</v>
      </c>
      <c r="L63" s="8" t="str">
        <f>IF(OR(tblOnboarding[[#This Row],[Status]]="Completed",tblOnboarding[[#This Row],[Due Date]]=""),"No",IF(AND(tblOnboarding[[#This Row],[Due Date]]&gt;=ReportDate,tblOnboarding[[#This Row],[Due Date]]&lt;=ReportDate+DueSoonDays),"Yes","No"))</f>
        <v>No</v>
      </c>
      <c r="M63" s="5"/>
    </row>
    <row r="64" spans="1:13" x14ac:dyDescent="0.3">
      <c r="A64" s="5" t="s">
        <v>252</v>
      </c>
      <c r="B64" s="5" t="s">
        <v>26</v>
      </c>
      <c r="C64" s="5" t="str">
        <f>IFERROR(INDEX(tblEmployees[Employee Name],MATCH(tblOnboarding[[#This Row],[Employee ID]],tblEmployees[Employee ID],0)),"ID not found")</f>
        <v>Amey Joshi</v>
      </c>
      <c r="D64" s="5" t="str">
        <f>IFERROR(INDEX(tblEmployees[Department],MATCH(tblOnboarding[[#This Row],[Employee ID]],tblEmployees[Employee ID],0)),"")</f>
        <v>Finance</v>
      </c>
      <c r="E64" s="5" t="s">
        <v>184</v>
      </c>
      <c r="F64" s="5" t="s">
        <v>5</v>
      </c>
      <c r="G64" s="6">
        <v>46300</v>
      </c>
      <c r="H64" s="6">
        <v>46303</v>
      </c>
      <c r="I64" s="8" t="s">
        <v>169</v>
      </c>
      <c r="J64" s="8" t="str">
        <f>IF(OR(tblOnboarding[[#This Row],[Status]]="Completed",tblOnboarding[[#This Row],[Due Date]]=""),"No",IF(tblOnboarding[[#This Row],[Due Date]]&lt;ReportDate,"Yes","No"))</f>
        <v>No</v>
      </c>
      <c r="K64" s="9" t="str">
        <f>IF(tblOnboarding[[#This Row],[Overdue]]="Yes",ReportDate-tblOnboarding[[#This Row],[Due Date]],"")</f>
        <v/>
      </c>
      <c r="L64" s="8" t="str">
        <f>IF(OR(tblOnboarding[[#This Row],[Status]]="Completed",tblOnboarding[[#This Row],[Due Date]]=""),"No",IF(AND(tblOnboarding[[#This Row],[Due Date]]&gt;=ReportDate,tblOnboarding[[#This Row],[Due Date]]&lt;=ReportDate+DueSoonDays),"Yes","No"))</f>
        <v>No</v>
      </c>
      <c r="M64" s="5" t="s">
        <v>170</v>
      </c>
    </row>
    <row r="65" spans="1:13" x14ac:dyDescent="0.3">
      <c r="A65" s="5" t="s">
        <v>253</v>
      </c>
      <c r="B65" s="5" t="s">
        <v>26</v>
      </c>
      <c r="C65" s="5" t="str">
        <f>IFERROR(INDEX(tblEmployees[Employee Name],MATCH(tblOnboarding[[#This Row],[Employee ID]],tblEmployees[Employee ID],0)),"ID not found")</f>
        <v>Amey Joshi</v>
      </c>
      <c r="D65" s="5" t="str">
        <f>IFERROR(INDEX(tblEmployees[Department],MATCH(tblOnboarding[[#This Row],[Employee ID]],tblEmployees[Employee ID],0)),"")</f>
        <v>Finance</v>
      </c>
      <c r="E65" s="5" t="s">
        <v>186</v>
      </c>
      <c r="F65" s="5" t="s">
        <v>168</v>
      </c>
      <c r="G65" s="6">
        <v>46307</v>
      </c>
      <c r="H65" s="6">
        <v>46308</v>
      </c>
      <c r="I65" s="8" t="s">
        <v>169</v>
      </c>
      <c r="J65" s="8" t="str">
        <f>IF(OR(tblOnboarding[[#This Row],[Status]]="Completed",tblOnboarding[[#This Row],[Due Date]]=""),"No",IF(tblOnboarding[[#This Row],[Due Date]]&lt;ReportDate,"Yes","No"))</f>
        <v>No</v>
      </c>
      <c r="K65" s="9" t="str">
        <f>IF(tblOnboarding[[#This Row],[Overdue]]="Yes",ReportDate-tblOnboarding[[#This Row],[Due Date]],"")</f>
        <v/>
      </c>
      <c r="L65" s="8" t="str">
        <f>IF(OR(tblOnboarding[[#This Row],[Status]]="Completed",tblOnboarding[[#This Row],[Due Date]]=""),"No",IF(AND(tblOnboarding[[#This Row],[Due Date]]&gt;=ReportDate,tblOnboarding[[#This Row],[Due Date]]&lt;=ReportDate+DueSoonDays),"Yes","No"))</f>
        <v>No</v>
      </c>
      <c r="M65" s="5"/>
    </row>
    <row r="66" spans="1:13" x14ac:dyDescent="0.3">
      <c r="A66" s="5" t="s">
        <v>254</v>
      </c>
      <c r="B66" s="5" t="s">
        <v>107</v>
      </c>
      <c r="C66" s="5" t="str">
        <f>IFERROR(INDEX(tblEmployees[Employee Name],MATCH(tblOnboarding[[#This Row],[Employee ID]],tblEmployees[Employee ID],0)),"ID not found")</f>
        <v>Pranav Phadke</v>
      </c>
      <c r="D66" s="5" t="str">
        <f>IFERROR(INDEX(tblEmployees[Department],MATCH(tblOnboarding[[#This Row],[Employee ID]],tblEmployees[Employee ID],0)),"")</f>
        <v>Human Resources</v>
      </c>
      <c r="E66" s="5" t="s">
        <v>167</v>
      </c>
      <c r="F66" s="5" t="s">
        <v>168</v>
      </c>
      <c r="G66" s="6">
        <v>46295</v>
      </c>
      <c r="H66" s="6">
        <v>46294</v>
      </c>
      <c r="I66" s="8" t="s">
        <v>169</v>
      </c>
      <c r="J66" s="8" t="str">
        <f>IF(OR(tblOnboarding[[#This Row],[Status]]="Completed",tblOnboarding[[#This Row],[Due Date]]=""),"No",IF(tblOnboarding[[#This Row],[Due Date]]&lt;ReportDate,"Yes","No"))</f>
        <v>No</v>
      </c>
      <c r="K66" s="9" t="str">
        <f>IF(tblOnboarding[[#This Row],[Overdue]]="Yes",ReportDate-tblOnboarding[[#This Row],[Due Date]],"")</f>
        <v/>
      </c>
      <c r="L66" s="8" t="str">
        <f>IF(OR(tblOnboarding[[#This Row],[Status]]="Completed",tblOnboarding[[#This Row],[Due Date]]=""),"No",IF(AND(tblOnboarding[[#This Row],[Due Date]]&gt;=ReportDate,tblOnboarding[[#This Row],[Due Date]]&lt;=ReportDate+DueSoonDays),"Yes","No"))</f>
        <v>No</v>
      </c>
      <c r="M66" s="5"/>
    </row>
    <row r="67" spans="1:13" x14ac:dyDescent="0.3">
      <c r="A67" s="5" t="s">
        <v>255</v>
      </c>
      <c r="B67" s="5" t="s">
        <v>107</v>
      </c>
      <c r="C67" s="5" t="str">
        <f>IFERROR(INDEX(tblEmployees[Employee Name],MATCH(tblOnboarding[[#This Row],[Employee ID]],tblEmployees[Employee ID],0)),"ID not found")</f>
        <v>Pranav Phadke</v>
      </c>
      <c r="D67" s="5" t="str">
        <f>IFERROR(INDEX(tblEmployees[Department],MATCH(tblOnboarding[[#This Row],[Employee ID]],tblEmployees[Employee ID],0)),"")</f>
        <v>Human Resources</v>
      </c>
      <c r="E67" s="5" t="s">
        <v>172</v>
      </c>
      <c r="F67" s="5" t="s">
        <v>168</v>
      </c>
      <c r="G67" s="6">
        <v>46296</v>
      </c>
      <c r="H67" s="6">
        <v>46301</v>
      </c>
      <c r="I67" s="8" t="s">
        <v>169</v>
      </c>
      <c r="J67" s="8" t="str">
        <f>IF(OR(tblOnboarding[[#This Row],[Status]]="Completed",tblOnboarding[[#This Row],[Due Date]]=""),"No",IF(tblOnboarding[[#This Row],[Due Date]]&lt;ReportDate,"Yes","No"))</f>
        <v>No</v>
      </c>
      <c r="K67" s="9" t="str">
        <f>IF(tblOnboarding[[#This Row],[Overdue]]="Yes",ReportDate-tblOnboarding[[#This Row],[Due Date]],"")</f>
        <v/>
      </c>
      <c r="L67" s="8" t="str">
        <f>IF(OR(tblOnboarding[[#This Row],[Status]]="Completed",tblOnboarding[[#This Row],[Due Date]]=""),"No",IF(AND(tblOnboarding[[#This Row],[Due Date]]&gt;=ReportDate,tblOnboarding[[#This Row],[Due Date]]&lt;=ReportDate+DueSoonDays),"Yes","No"))</f>
        <v>No</v>
      </c>
      <c r="M67" s="5"/>
    </row>
    <row r="68" spans="1:13" x14ac:dyDescent="0.3">
      <c r="A68" s="5" t="s">
        <v>256</v>
      </c>
      <c r="B68" s="5" t="s">
        <v>107</v>
      </c>
      <c r="C68" s="5" t="str">
        <f>IFERROR(INDEX(tblEmployees[Employee Name],MATCH(tblOnboarding[[#This Row],[Employee ID]],tblEmployees[Employee ID],0)),"ID not found")</f>
        <v>Pranav Phadke</v>
      </c>
      <c r="D68" s="5" t="str">
        <f>IFERROR(INDEX(tblEmployees[Department],MATCH(tblOnboarding[[#This Row],[Employee ID]],tblEmployees[Employee ID],0)),"")</f>
        <v>Human Resources</v>
      </c>
      <c r="E68" s="5" t="s">
        <v>174</v>
      </c>
      <c r="F68" s="5" t="s">
        <v>175</v>
      </c>
      <c r="G68" s="6">
        <v>46295</v>
      </c>
      <c r="H68" s="6">
        <v>46300</v>
      </c>
      <c r="I68" s="8" t="s">
        <v>169</v>
      </c>
      <c r="J68" s="8" t="str">
        <f>IF(OR(tblOnboarding[[#This Row],[Status]]="Completed",tblOnboarding[[#This Row],[Due Date]]=""),"No",IF(tblOnboarding[[#This Row],[Due Date]]&lt;ReportDate,"Yes","No"))</f>
        <v>No</v>
      </c>
      <c r="K68" s="9" t="str">
        <f>IF(tblOnboarding[[#This Row],[Overdue]]="Yes",ReportDate-tblOnboarding[[#This Row],[Due Date]],"")</f>
        <v/>
      </c>
      <c r="L68" s="8" t="str">
        <f>IF(OR(tblOnboarding[[#This Row],[Status]]="Completed",tblOnboarding[[#This Row],[Due Date]]=""),"No",IF(AND(tblOnboarding[[#This Row],[Due Date]]&gt;=ReportDate,tblOnboarding[[#This Row],[Due Date]]&lt;=ReportDate+DueSoonDays),"Yes","No"))</f>
        <v>No</v>
      </c>
      <c r="M68" s="5"/>
    </row>
    <row r="69" spans="1:13" x14ac:dyDescent="0.3">
      <c r="A69" s="5" t="s">
        <v>257</v>
      </c>
      <c r="B69" s="5" t="s">
        <v>107</v>
      </c>
      <c r="C69" s="5" t="str">
        <f>IFERROR(INDEX(tblEmployees[Employee Name],MATCH(tblOnboarding[[#This Row],[Employee ID]],tblEmployees[Employee ID],0)),"ID not found")</f>
        <v>Pranav Phadke</v>
      </c>
      <c r="D69" s="5" t="str">
        <f>IFERROR(INDEX(tblEmployees[Department],MATCH(tblOnboarding[[#This Row],[Employee ID]],tblEmployees[Employee ID],0)),"")</f>
        <v>Human Resources</v>
      </c>
      <c r="E69" s="5" t="s">
        <v>177</v>
      </c>
      <c r="F69" s="5" t="s">
        <v>168</v>
      </c>
      <c r="G69" s="6">
        <v>46297</v>
      </c>
      <c r="H69" s="6">
        <v>46297</v>
      </c>
      <c r="I69" s="8" t="s">
        <v>169</v>
      </c>
      <c r="J69" s="8" t="str">
        <f>IF(OR(tblOnboarding[[#This Row],[Status]]="Completed",tblOnboarding[[#This Row],[Due Date]]=""),"No",IF(tblOnboarding[[#This Row],[Due Date]]&lt;ReportDate,"Yes","No"))</f>
        <v>No</v>
      </c>
      <c r="K69" s="9" t="str">
        <f>IF(tblOnboarding[[#This Row],[Overdue]]="Yes",ReportDate-tblOnboarding[[#This Row],[Due Date]],"")</f>
        <v/>
      </c>
      <c r="L69" s="8" t="str">
        <f>IF(OR(tblOnboarding[[#This Row],[Status]]="Completed",tblOnboarding[[#This Row],[Due Date]]=""),"No",IF(AND(tblOnboarding[[#This Row],[Due Date]]&gt;=ReportDate,tblOnboarding[[#This Row],[Due Date]]&lt;=ReportDate+DueSoonDays),"Yes","No"))</f>
        <v>No</v>
      </c>
      <c r="M69" s="5"/>
    </row>
    <row r="70" spans="1:13" x14ac:dyDescent="0.3">
      <c r="A70" s="5" t="s">
        <v>258</v>
      </c>
      <c r="B70" s="5" t="s">
        <v>107</v>
      </c>
      <c r="C70" s="5" t="str">
        <f>IFERROR(INDEX(tblEmployees[Employee Name],MATCH(tblOnboarding[[#This Row],[Employee ID]],tblEmployees[Employee ID],0)),"ID not found")</f>
        <v>Pranav Phadke</v>
      </c>
      <c r="D70" s="5" t="str">
        <f>IFERROR(INDEX(tblEmployees[Department],MATCH(tblOnboarding[[#This Row],[Employee ID]],tblEmployees[Employee ID],0)),"")</f>
        <v>Human Resources</v>
      </c>
      <c r="E70" s="5" t="s">
        <v>179</v>
      </c>
      <c r="F70" s="5" t="s">
        <v>168</v>
      </c>
      <c r="G70" s="6">
        <v>46296</v>
      </c>
      <c r="H70" s="6">
        <v>46295</v>
      </c>
      <c r="I70" s="8" t="s">
        <v>169</v>
      </c>
      <c r="J70" s="8" t="str">
        <f>IF(OR(tblOnboarding[[#This Row],[Status]]="Completed",tblOnboarding[[#This Row],[Due Date]]=""),"No",IF(tblOnboarding[[#This Row],[Due Date]]&lt;ReportDate,"Yes","No"))</f>
        <v>No</v>
      </c>
      <c r="K70" s="9" t="str">
        <f>IF(tblOnboarding[[#This Row],[Overdue]]="Yes",ReportDate-tblOnboarding[[#This Row],[Due Date]],"")</f>
        <v/>
      </c>
      <c r="L70" s="8" t="str">
        <f>IF(OR(tblOnboarding[[#This Row],[Status]]="Completed",tblOnboarding[[#This Row],[Due Date]]=""),"No",IF(AND(tblOnboarding[[#This Row],[Due Date]]&gt;=ReportDate,tblOnboarding[[#This Row],[Due Date]]&lt;=ReportDate+DueSoonDays),"Yes","No"))</f>
        <v>No</v>
      </c>
      <c r="M70" s="5"/>
    </row>
    <row r="71" spans="1:13" x14ac:dyDescent="0.3">
      <c r="A71" s="5" t="s">
        <v>259</v>
      </c>
      <c r="B71" s="5" t="s">
        <v>107</v>
      </c>
      <c r="C71" s="5" t="str">
        <f>IFERROR(INDEX(tblEmployees[Employee Name],MATCH(tblOnboarding[[#This Row],[Employee ID]],tblEmployees[Employee ID],0)),"ID not found")</f>
        <v>Pranav Phadke</v>
      </c>
      <c r="D71" s="5" t="str">
        <f>IFERROR(INDEX(tblEmployees[Department],MATCH(tblOnboarding[[#This Row],[Employee ID]],tblEmployees[Employee ID],0)),"")</f>
        <v>Human Resources</v>
      </c>
      <c r="E71" s="5" t="s">
        <v>181</v>
      </c>
      <c r="F71" s="5" t="s">
        <v>182</v>
      </c>
      <c r="G71" s="6">
        <v>46300</v>
      </c>
      <c r="H71" s="6">
        <v>46300</v>
      </c>
      <c r="I71" s="8" t="s">
        <v>169</v>
      </c>
      <c r="J71" s="8" t="str">
        <f>IF(OR(tblOnboarding[[#This Row],[Status]]="Completed",tblOnboarding[[#This Row],[Due Date]]=""),"No",IF(tblOnboarding[[#This Row],[Due Date]]&lt;ReportDate,"Yes","No"))</f>
        <v>No</v>
      </c>
      <c r="K71" s="9" t="str">
        <f>IF(tblOnboarding[[#This Row],[Overdue]]="Yes",ReportDate-tblOnboarding[[#This Row],[Due Date]],"")</f>
        <v/>
      </c>
      <c r="L71" s="8" t="str">
        <f>IF(OR(tblOnboarding[[#This Row],[Status]]="Completed",tblOnboarding[[#This Row],[Due Date]]=""),"No",IF(AND(tblOnboarding[[#This Row],[Due Date]]&gt;=ReportDate,tblOnboarding[[#This Row],[Due Date]]&lt;=ReportDate+DueSoonDays),"Yes","No"))</f>
        <v>No</v>
      </c>
      <c r="M71" s="5"/>
    </row>
    <row r="72" spans="1:13" x14ac:dyDescent="0.3">
      <c r="A72" s="5" t="s">
        <v>260</v>
      </c>
      <c r="B72" s="5" t="s">
        <v>107</v>
      </c>
      <c r="C72" s="5" t="str">
        <f>IFERROR(INDEX(tblEmployees[Employee Name],MATCH(tblOnboarding[[#This Row],[Employee ID]],tblEmployees[Employee ID],0)),"ID not found")</f>
        <v>Pranav Phadke</v>
      </c>
      <c r="D72" s="5" t="str">
        <f>IFERROR(INDEX(tblEmployees[Department],MATCH(tblOnboarding[[#This Row],[Employee ID]],tblEmployees[Employee ID],0)),"")</f>
        <v>Human Resources</v>
      </c>
      <c r="E72" s="5" t="s">
        <v>184</v>
      </c>
      <c r="F72" s="5" t="s">
        <v>5</v>
      </c>
      <c r="G72" s="6">
        <v>46301</v>
      </c>
      <c r="H72" s="6">
        <v>46303</v>
      </c>
      <c r="I72" s="8" t="s">
        <v>169</v>
      </c>
      <c r="J72" s="8" t="str">
        <f>IF(OR(tblOnboarding[[#This Row],[Status]]="Completed",tblOnboarding[[#This Row],[Due Date]]=""),"No",IF(tblOnboarding[[#This Row],[Due Date]]&lt;ReportDate,"Yes","No"))</f>
        <v>No</v>
      </c>
      <c r="K72" s="9" t="str">
        <f>IF(tblOnboarding[[#This Row],[Overdue]]="Yes",ReportDate-tblOnboarding[[#This Row],[Due Date]],"")</f>
        <v/>
      </c>
      <c r="L72" s="8" t="str">
        <f>IF(OR(tblOnboarding[[#This Row],[Status]]="Completed",tblOnboarding[[#This Row],[Due Date]]=""),"No",IF(AND(tblOnboarding[[#This Row],[Due Date]]&gt;=ReportDate,tblOnboarding[[#This Row],[Due Date]]&lt;=ReportDate+DueSoonDays),"Yes","No"))</f>
        <v>No</v>
      </c>
      <c r="M72" s="5"/>
    </row>
    <row r="73" spans="1:13" x14ac:dyDescent="0.3">
      <c r="A73" s="5" t="s">
        <v>261</v>
      </c>
      <c r="B73" s="5" t="s">
        <v>107</v>
      </c>
      <c r="C73" s="5" t="str">
        <f>IFERROR(INDEX(tblEmployees[Employee Name],MATCH(tblOnboarding[[#This Row],[Employee ID]],tblEmployees[Employee ID],0)),"ID not found")</f>
        <v>Pranav Phadke</v>
      </c>
      <c r="D73" s="5" t="str">
        <f>IFERROR(INDEX(tblEmployees[Department],MATCH(tblOnboarding[[#This Row],[Employee ID]],tblEmployees[Employee ID],0)),"")</f>
        <v>Human Resources</v>
      </c>
      <c r="E73" s="5" t="s">
        <v>186</v>
      </c>
      <c r="F73" s="5" t="s">
        <v>168</v>
      </c>
      <c r="G73" s="6">
        <v>46308</v>
      </c>
      <c r="H73" s="6"/>
      <c r="I73" s="8" t="s">
        <v>205</v>
      </c>
      <c r="J73" s="8" t="str">
        <f>IF(OR(tblOnboarding[[#This Row],[Status]]="Completed",tblOnboarding[[#This Row],[Due Date]]=""),"No",IF(tblOnboarding[[#This Row],[Due Date]]&lt;ReportDate,"Yes","No"))</f>
        <v>Yes</v>
      </c>
      <c r="K73" s="9">
        <f>IF(tblOnboarding[[#This Row],[Overdue]]="Yes",ReportDate-tblOnboarding[[#This Row],[Due Date]],"")</f>
        <v>3</v>
      </c>
      <c r="L73" s="8" t="str">
        <f>IF(OR(tblOnboarding[[#This Row],[Status]]="Completed",tblOnboarding[[#This Row],[Due Date]]=""),"No",IF(AND(tblOnboarding[[#This Row],[Due Date]]&gt;=ReportDate,tblOnboarding[[#This Row],[Due Date]]&lt;=ReportDate+DueSoonDays),"Yes","No"))</f>
        <v>No</v>
      </c>
      <c r="M73" s="5" t="s">
        <v>218</v>
      </c>
    </row>
    <row r="74" spans="1:13" x14ac:dyDescent="0.3">
      <c r="A74" s="5" t="s">
        <v>262</v>
      </c>
      <c r="B74" s="5" t="s">
        <v>130</v>
      </c>
      <c r="C74" s="5" t="str">
        <f>IFERROR(INDEX(tblEmployees[Employee Name],MATCH(tblOnboarding[[#This Row],[Employee ID]],tblEmployees[Employee ID],0)),"ID not found")</f>
        <v>Shruti Bansal</v>
      </c>
      <c r="D74" s="5" t="str">
        <f>IFERROR(INDEX(tblEmployees[Department],MATCH(tblOnboarding[[#This Row],[Employee ID]],tblEmployees[Employee ID],0)),"")</f>
        <v>Customer Support</v>
      </c>
      <c r="E74" s="5" t="s">
        <v>167</v>
      </c>
      <c r="F74" s="5" t="s">
        <v>168</v>
      </c>
      <c r="G74" s="6">
        <v>46301</v>
      </c>
      <c r="H74" s="6">
        <v>46300</v>
      </c>
      <c r="I74" s="8" t="s">
        <v>169</v>
      </c>
      <c r="J74" s="8" t="str">
        <f>IF(OR(tblOnboarding[[#This Row],[Status]]="Completed",tblOnboarding[[#This Row],[Due Date]]=""),"No",IF(tblOnboarding[[#This Row],[Due Date]]&lt;ReportDate,"Yes","No"))</f>
        <v>No</v>
      </c>
      <c r="K74" s="9" t="str">
        <f>IF(tblOnboarding[[#This Row],[Overdue]]="Yes",ReportDate-tblOnboarding[[#This Row],[Due Date]],"")</f>
        <v/>
      </c>
      <c r="L74" s="8" t="str">
        <f>IF(OR(tblOnboarding[[#This Row],[Status]]="Completed",tblOnboarding[[#This Row],[Due Date]]=""),"No",IF(AND(tblOnboarding[[#This Row],[Due Date]]&gt;=ReportDate,tblOnboarding[[#This Row],[Due Date]]&lt;=ReportDate+DueSoonDays),"Yes","No"))</f>
        <v>No</v>
      </c>
      <c r="M74" s="5"/>
    </row>
    <row r="75" spans="1:13" x14ac:dyDescent="0.3">
      <c r="A75" s="5" t="s">
        <v>263</v>
      </c>
      <c r="B75" s="5" t="s">
        <v>130</v>
      </c>
      <c r="C75" s="5" t="str">
        <f>IFERROR(INDEX(tblEmployees[Employee Name],MATCH(tblOnboarding[[#This Row],[Employee ID]],tblEmployees[Employee ID],0)),"ID not found")</f>
        <v>Shruti Bansal</v>
      </c>
      <c r="D75" s="5" t="str">
        <f>IFERROR(INDEX(tblEmployees[Department],MATCH(tblOnboarding[[#This Row],[Employee ID]],tblEmployees[Employee ID],0)),"")</f>
        <v>Customer Support</v>
      </c>
      <c r="E75" s="5" t="s">
        <v>172</v>
      </c>
      <c r="F75" s="5" t="s">
        <v>168</v>
      </c>
      <c r="G75" s="6">
        <v>46302</v>
      </c>
      <c r="H75" s="6">
        <v>46302</v>
      </c>
      <c r="I75" s="8" t="s">
        <v>169</v>
      </c>
      <c r="J75" s="8" t="str">
        <f>IF(OR(tblOnboarding[[#This Row],[Status]]="Completed",tblOnboarding[[#This Row],[Due Date]]=""),"No",IF(tblOnboarding[[#This Row],[Due Date]]&lt;ReportDate,"Yes","No"))</f>
        <v>No</v>
      </c>
      <c r="K75" s="9" t="str">
        <f>IF(tblOnboarding[[#This Row],[Overdue]]="Yes",ReportDate-tblOnboarding[[#This Row],[Due Date]],"")</f>
        <v/>
      </c>
      <c r="L75" s="8" t="str">
        <f>IF(OR(tblOnboarding[[#This Row],[Status]]="Completed",tblOnboarding[[#This Row],[Due Date]]=""),"No",IF(AND(tblOnboarding[[#This Row],[Due Date]]&gt;=ReportDate,tblOnboarding[[#This Row],[Due Date]]&lt;=ReportDate+DueSoonDays),"Yes","No"))</f>
        <v>No</v>
      </c>
      <c r="M75" s="5"/>
    </row>
    <row r="76" spans="1:13" x14ac:dyDescent="0.3">
      <c r="A76" s="5" t="s">
        <v>264</v>
      </c>
      <c r="B76" s="5" t="s">
        <v>130</v>
      </c>
      <c r="C76" s="5" t="str">
        <f>IFERROR(INDEX(tblEmployees[Employee Name],MATCH(tblOnboarding[[#This Row],[Employee ID]],tblEmployees[Employee ID],0)),"ID not found")</f>
        <v>Shruti Bansal</v>
      </c>
      <c r="D76" s="5" t="str">
        <f>IFERROR(INDEX(tblEmployees[Department],MATCH(tblOnboarding[[#This Row],[Employee ID]],tblEmployees[Employee ID],0)),"")</f>
        <v>Customer Support</v>
      </c>
      <c r="E76" s="5" t="s">
        <v>174</v>
      </c>
      <c r="F76" s="5" t="s">
        <v>175</v>
      </c>
      <c r="G76" s="6">
        <v>46301</v>
      </c>
      <c r="H76" s="6">
        <v>46301</v>
      </c>
      <c r="I76" s="8" t="s">
        <v>169</v>
      </c>
      <c r="J76" s="8" t="str">
        <f>IF(OR(tblOnboarding[[#This Row],[Status]]="Completed",tblOnboarding[[#This Row],[Due Date]]=""),"No",IF(tblOnboarding[[#This Row],[Due Date]]&lt;ReportDate,"Yes","No"))</f>
        <v>No</v>
      </c>
      <c r="K76" s="9" t="str">
        <f>IF(tblOnboarding[[#This Row],[Overdue]]="Yes",ReportDate-tblOnboarding[[#This Row],[Due Date]],"")</f>
        <v/>
      </c>
      <c r="L76" s="8" t="str">
        <f>IF(OR(tblOnboarding[[#This Row],[Status]]="Completed",tblOnboarding[[#This Row],[Due Date]]=""),"No",IF(AND(tblOnboarding[[#This Row],[Due Date]]&gt;=ReportDate,tblOnboarding[[#This Row],[Due Date]]&lt;=ReportDate+DueSoonDays),"Yes","No"))</f>
        <v>No</v>
      </c>
      <c r="M76" s="5"/>
    </row>
    <row r="77" spans="1:13" x14ac:dyDescent="0.3">
      <c r="A77" s="5" t="s">
        <v>265</v>
      </c>
      <c r="B77" s="5" t="s">
        <v>130</v>
      </c>
      <c r="C77" s="5" t="str">
        <f>IFERROR(INDEX(tblEmployees[Employee Name],MATCH(tblOnboarding[[#This Row],[Employee ID]],tblEmployees[Employee ID],0)),"ID not found")</f>
        <v>Shruti Bansal</v>
      </c>
      <c r="D77" s="5" t="str">
        <f>IFERROR(INDEX(tblEmployees[Department],MATCH(tblOnboarding[[#This Row],[Employee ID]],tblEmployees[Employee ID],0)),"")</f>
        <v>Customer Support</v>
      </c>
      <c r="E77" s="5" t="s">
        <v>177</v>
      </c>
      <c r="F77" s="5" t="s">
        <v>168</v>
      </c>
      <c r="G77" s="6">
        <v>46303</v>
      </c>
      <c r="H77" s="6">
        <v>46307</v>
      </c>
      <c r="I77" s="8" t="s">
        <v>169</v>
      </c>
      <c r="J77" s="8" t="str">
        <f>IF(OR(tblOnboarding[[#This Row],[Status]]="Completed",tblOnboarding[[#This Row],[Due Date]]=""),"No",IF(tblOnboarding[[#This Row],[Due Date]]&lt;ReportDate,"Yes","No"))</f>
        <v>No</v>
      </c>
      <c r="K77" s="9" t="str">
        <f>IF(tblOnboarding[[#This Row],[Overdue]]="Yes",ReportDate-tblOnboarding[[#This Row],[Due Date]],"")</f>
        <v/>
      </c>
      <c r="L77" s="8" t="str">
        <f>IF(OR(tblOnboarding[[#This Row],[Status]]="Completed",tblOnboarding[[#This Row],[Due Date]]=""),"No",IF(AND(tblOnboarding[[#This Row],[Due Date]]&gt;=ReportDate,tblOnboarding[[#This Row],[Due Date]]&lt;=ReportDate+DueSoonDays),"Yes","No"))</f>
        <v>No</v>
      </c>
      <c r="M77" s="5"/>
    </row>
    <row r="78" spans="1:13" x14ac:dyDescent="0.3">
      <c r="A78" s="5" t="s">
        <v>266</v>
      </c>
      <c r="B78" s="5" t="s">
        <v>130</v>
      </c>
      <c r="C78" s="5" t="str">
        <f>IFERROR(INDEX(tblEmployees[Employee Name],MATCH(tblOnboarding[[#This Row],[Employee ID]],tblEmployees[Employee ID],0)),"ID not found")</f>
        <v>Shruti Bansal</v>
      </c>
      <c r="D78" s="5" t="str">
        <f>IFERROR(INDEX(tblEmployees[Department],MATCH(tblOnboarding[[#This Row],[Employee ID]],tblEmployees[Employee ID],0)),"")</f>
        <v>Customer Support</v>
      </c>
      <c r="E78" s="5" t="s">
        <v>179</v>
      </c>
      <c r="F78" s="5" t="s">
        <v>168</v>
      </c>
      <c r="G78" s="6">
        <v>46302</v>
      </c>
      <c r="H78" s="6">
        <v>46302</v>
      </c>
      <c r="I78" s="8" t="s">
        <v>169</v>
      </c>
      <c r="J78" s="8" t="str">
        <f>IF(OR(tblOnboarding[[#This Row],[Status]]="Completed",tblOnboarding[[#This Row],[Due Date]]=""),"No",IF(tblOnboarding[[#This Row],[Due Date]]&lt;ReportDate,"Yes","No"))</f>
        <v>No</v>
      </c>
      <c r="K78" s="9" t="str">
        <f>IF(tblOnboarding[[#This Row],[Overdue]]="Yes",ReportDate-tblOnboarding[[#This Row],[Due Date]],"")</f>
        <v/>
      </c>
      <c r="L78" s="8" t="str">
        <f>IF(OR(tblOnboarding[[#This Row],[Status]]="Completed",tblOnboarding[[#This Row],[Due Date]]=""),"No",IF(AND(tblOnboarding[[#This Row],[Due Date]]&gt;=ReportDate,tblOnboarding[[#This Row],[Due Date]]&lt;=ReportDate+DueSoonDays),"Yes","No"))</f>
        <v>No</v>
      </c>
      <c r="M78" s="5"/>
    </row>
    <row r="79" spans="1:13" x14ac:dyDescent="0.3">
      <c r="A79" s="5" t="s">
        <v>267</v>
      </c>
      <c r="B79" s="5" t="s">
        <v>130</v>
      </c>
      <c r="C79" s="5" t="str">
        <f>IFERROR(INDEX(tblEmployees[Employee Name],MATCH(tblOnboarding[[#This Row],[Employee ID]],tblEmployees[Employee ID],0)),"ID not found")</f>
        <v>Shruti Bansal</v>
      </c>
      <c r="D79" s="5" t="str">
        <f>IFERROR(INDEX(tblEmployees[Department],MATCH(tblOnboarding[[#This Row],[Employee ID]],tblEmployees[Employee ID],0)),"")</f>
        <v>Customer Support</v>
      </c>
      <c r="E79" s="5" t="s">
        <v>181</v>
      </c>
      <c r="F79" s="5" t="s">
        <v>182</v>
      </c>
      <c r="G79" s="6">
        <v>46307</v>
      </c>
      <c r="H79" s="6"/>
      <c r="I79" s="8" t="s">
        <v>205</v>
      </c>
      <c r="J79" s="8" t="str">
        <f>IF(OR(tblOnboarding[[#This Row],[Status]]="Completed",tblOnboarding[[#This Row],[Due Date]]=""),"No",IF(tblOnboarding[[#This Row],[Due Date]]&lt;ReportDate,"Yes","No"))</f>
        <v>Yes</v>
      </c>
      <c r="K79" s="9">
        <f>IF(tblOnboarding[[#This Row],[Overdue]]="Yes",ReportDate-tblOnboarding[[#This Row],[Due Date]],"")</f>
        <v>4</v>
      </c>
      <c r="L79" s="8" t="str">
        <f>IF(OR(tblOnboarding[[#This Row],[Status]]="Completed",tblOnboarding[[#This Row],[Due Date]]=""),"No",IF(AND(tblOnboarding[[#This Row],[Due Date]]&gt;=ReportDate,tblOnboarding[[#This Row],[Due Date]]&lt;=ReportDate+DueSoonDays),"Yes","No"))</f>
        <v>No</v>
      </c>
      <c r="M79" s="5" t="s">
        <v>268</v>
      </c>
    </row>
    <row r="80" spans="1:13" x14ac:dyDescent="0.3">
      <c r="A80" s="5" t="s">
        <v>269</v>
      </c>
      <c r="B80" s="5" t="s">
        <v>130</v>
      </c>
      <c r="C80" s="5" t="str">
        <f>IFERROR(INDEX(tblEmployees[Employee Name],MATCH(tblOnboarding[[#This Row],[Employee ID]],tblEmployees[Employee ID],0)),"ID not found")</f>
        <v>Shruti Bansal</v>
      </c>
      <c r="D80" s="5" t="str">
        <f>IFERROR(INDEX(tblEmployees[Department],MATCH(tblOnboarding[[#This Row],[Employee ID]],tblEmployees[Employee ID],0)),"")</f>
        <v>Customer Support</v>
      </c>
      <c r="E80" s="5" t="s">
        <v>184</v>
      </c>
      <c r="F80" s="5" t="s">
        <v>5</v>
      </c>
      <c r="G80" s="6">
        <v>46307</v>
      </c>
      <c r="H80" s="6">
        <v>46307</v>
      </c>
      <c r="I80" s="8" t="s">
        <v>169</v>
      </c>
      <c r="J80" s="8" t="str">
        <f>IF(OR(tblOnboarding[[#This Row],[Status]]="Completed",tblOnboarding[[#This Row],[Due Date]]=""),"No",IF(tblOnboarding[[#This Row],[Due Date]]&lt;ReportDate,"Yes","No"))</f>
        <v>No</v>
      </c>
      <c r="K80" s="9" t="str">
        <f>IF(tblOnboarding[[#This Row],[Overdue]]="Yes",ReportDate-tblOnboarding[[#This Row],[Due Date]],"")</f>
        <v/>
      </c>
      <c r="L80" s="8" t="str">
        <f>IF(OR(tblOnboarding[[#This Row],[Status]]="Completed",tblOnboarding[[#This Row],[Due Date]]=""),"No",IF(AND(tblOnboarding[[#This Row],[Due Date]]&gt;=ReportDate,tblOnboarding[[#This Row],[Due Date]]&lt;=ReportDate+DueSoonDays),"Yes","No"))</f>
        <v>No</v>
      </c>
      <c r="M80" s="5"/>
    </row>
    <row r="81" spans="1:13" x14ac:dyDescent="0.3">
      <c r="A81" s="5" t="s">
        <v>270</v>
      </c>
      <c r="B81" s="5" t="s">
        <v>130</v>
      </c>
      <c r="C81" s="5" t="str">
        <f>IFERROR(INDEX(tblEmployees[Employee Name],MATCH(tblOnboarding[[#This Row],[Employee ID]],tblEmployees[Employee ID],0)),"ID not found")</f>
        <v>Shruti Bansal</v>
      </c>
      <c r="D81" s="5" t="str">
        <f>IFERROR(INDEX(tblEmployees[Department],MATCH(tblOnboarding[[#This Row],[Employee ID]],tblEmployees[Employee ID],0)),"")</f>
        <v>Customer Support</v>
      </c>
      <c r="E81" s="5" t="s">
        <v>186</v>
      </c>
      <c r="F81" s="5" t="s">
        <v>168</v>
      </c>
      <c r="G81" s="6">
        <v>46314</v>
      </c>
      <c r="H81" s="6"/>
      <c r="I81" s="8" t="s">
        <v>205</v>
      </c>
      <c r="J81" s="8" t="str">
        <f>IF(OR(tblOnboarding[[#This Row],[Status]]="Completed",tblOnboarding[[#This Row],[Due Date]]=""),"No",IF(tblOnboarding[[#This Row],[Due Date]]&lt;ReportDate,"Yes","No"))</f>
        <v>No</v>
      </c>
      <c r="K81" s="9" t="str">
        <f>IF(tblOnboarding[[#This Row],[Overdue]]="Yes",ReportDate-tblOnboarding[[#This Row],[Due Date]],"")</f>
        <v/>
      </c>
      <c r="L81" s="8" t="str">
        <f>IF(OR(tblOnboarding[[#This Row],[Status]]="Completed",tblOnboarding[[#This Row],[Due Date]]=""),"No",IF(AND(tblOnboarding[[#This Row],[Due Date]]&gt;=ReportDate,tblOnboarding[[#This Row],[Due Date]]&lt;=ReportDate+DueSoonDays),"Yes","No"))</f>
        <v>Yes</v>
      </c>
      <c r="M81" s="5"/>
    </row>
    <row r="82" spans="1:13" x14ac:dyDescent="0.3">
      <c r="A82" s="5" t="s">
        <v>271</v>
      </c>
      <c r="B82" s="5" t="s">
        <v>121</v>
      </c>
      <c r="C82" s="5" t="str">
        <f>IFERROR(INDEX(tblEmployees[Employee Name],MATCH(tblOnboarding[[#This Row],[Employee ID]],tblEmployees[Employee ID],0)),"ID not found")</f>
        <v>Rutuja Sawant</v>
      </c>
      <c r="D82" s="5" t="str">
        <f>IFERROR(INDEX(tblEmployees[Department],MATCH(tblOnboarding[[#This Row],[Employee ID]],tblEmployees[Employee ID],0)),"")</f>
        <v>Sales</v>
      </c>
      <c r="E82" s="5" t="s">
        <v>167</v>
      </c>
      <c r="F82" s="5" t="s">
        <v>168</v>
      </c>
      <c r="G82" s="6">
        <v>46301</v>
      </c>
      <c r="H82" s="6">
        <v>46303</v>
      </c>
      <c r="I82" s="8" t="s">
        <v>169</v>
      </c>
      <c r="J82" s="8" t="str">
        <f>IF(OR(tblOnboarding[[#This Row],[Status]]="Completed",tblOnboarding[[#This Row],[Due Date]]=""),"No",IF(tblOnboarding[[#This Row],[Due Date]]&lt;ReportDate,"Yes","No"))</f>
        <v>No</v>
      </c>
      <c r="K82" s="9" t="str">
        <f>IF(tblOnboarding[[#This Row],[Overdue]]="Yes",ReportDate-tblOnboarding[[#This Row],[Due Date]],"")</f>
        <v/>
      </c>
      <c r="L82" s="8" t="str">
        <f>IF(OR(tblOnboarding[[#This Row],[Status]]="Completed",tblOnboarding[[#This Row],[Due Date]]=""),"No",IF(AND(tblOnboarding[[#This Row],[Due Date]]&gt;=ReportDate,tblOnboarding[[#This Row],[Due Date]]&lt;=ReportDate+DueSoonDays),"Yes","No"))</f>
        <v>No</v>
      </c>
      <c r="M82" s="5"/>
    </row>
    <row r="83" spans="1:13" x14ac:dyDescent="0.3">
      <c r="A83" s="5" t="s">
        <v>272</v>
      </c>
      <c r="B83" s="5" t="s">
        <v>121</v>
      </c>
      <c r="C83" s="5" t="str">
        <f>IFERROR(INDEX(tblEmployees[Employee Name],MATCH(tblOnboarding[[#This Row],[Employee ID]],tblEmployees[Employee ID],0)),"ID not found")</f>
        <v>Rutuja Sawant</v>
      </c>
      <c r="D83" s="5" t="str">
        <f>IFERROR(INDEX(tblEmployees[Department],MATCH(tblOnboarding[[#This Row],[Employee ID]],tblEmployees[Employee ID],0)),"")</f>
        <v>Sales</v>
      </c>
      <c r="E83" s="5" t="s">
        <v>172</v>
      </c>
      <c r="F83" s="5" t="s">
        <v>168</v>
      </c>
      <c r="G83" s="6">
        <v>46302</v>
      </c>
      <c r="H83" s="6">
        <v>46304</v>
      </c>
      <c r="I83" s="8" t="s">
        <v>169</v>
      </c>
      <c r="J83" s="8" t="str">
        <f>IF(OR(tblOnboarding[[#This Row],[Status]]="Completed",tblOnboarding[[#This Row],[Due Date]]=""),"No",IF(tblOnboarding[[#This Row],[Due Date]]&lt;ReportDate,"Yes","No"))</f>
        <v>No</v>
      </c>
      <c r="K83" s="9" t="str">
        <f>IF(tblOnboarding[[#This Row],[Overdue]]="Yes",ReportDate-tblOnboarding[[#This Row],[Due Date]],"")</f>
        <v/>
      </c>
      <c r="L83" s="8" t="str">
        <f>IF(OR(tblOnboarding[[#This Row],[Status]]="Completed",tblOnboarding[[#This Row],[Due Date]]=""),"No",IF(AND(tblOnboarding[[#This Row],[Due Date]]&gt;=ReportDate,tblOnboarding[[#This Row],[Due Date]]&lt;=ReportDate+DueSoonDays),"Yes","No"))</f>
        <v>No</v>
      </c>
      <c r="M83" s="5"/>
    </row>
    <row r="84" spans="1:13" x14ac:dyDescent="0.3">
      <c r="A84" s="5" t="s">
        <v>273</v>
      </c>
      <c r="B84" s="5" t="s">
        <v>121</v>
      </c>
      <c r="C84" s="5" t="str">
        <f>IFERROR(INDEX(tblEmployees[Employee Name],MATCH(tblOnboarding[[#This Row],[Employee ID]],tblEmployees[Employee ID],0)),"ID not found")</f>
        <v>Rutuja Sawant</v>
      </c>
      <c r="D84" s="5" t="str">
        <f>IFERROR(INDEX(tblEmployees[Department],MATCH(tblOnboarding[[#This Row],[Employee ID]],tblEmployees[Employee ID],0)),"")</f>
        <v>Sales</v>
      </c>
      <c r="E84" s="5" t="s">
        <v>174</v>
      </c>
      <c r="F84" s="5" t="s">
        <v>175</v>
      </c>
      <c r="G84" s="6">
        <v>46301</v>
      </c>
      <c r="H84" s="6"/>
      <c r="I84" s="8" t="s">
        <v>187</v>
      </c>
      <c r="J84" s="8" t="str">
        <f>IF(OR(tblOnboarding[[#This Row],[Status]]="Completed",tblOnboarding[[#This Row],[Due Date]]=""),"No",IF(tblOnboarding[[#This Row],[Due Date]]&lt;ReportDate,"Yes","No"))</f>
        <v>Yes</v>
      </c>
      <c r="K84" s="9">
        <f>IF(tblOnboarding[[#This Row],[Overdue]]="Yes",ReportDate-tblOnboarding[[#This Row],[Due Date]],"")</f>
        <v>10</v>
      </c>
      <c r="L84" s="8" t="str">
        <f>IF(OR(tblOnboarding[[#This Row],[Status]]="Completed",tblOnboarding[[#This Row],[Due Date]]=""),"No",IF(AND(tblOnboarding[[#This Row],[Due Date]]&gt;=ReportDate,tblOnboarding[[#This Row],[Due Date]]&lt;=ReportDate+DueSoonDays),"Yes","No"))</f>
        <v>No</v>
      </c>
      <c r="M84" s="5" t="s">
        <v>274</v>
      </c>
    </row>
    <row r="85" spans="1:13" x14ac:dyDescent="0.3">
      <c r="A85" s="5" t="s">
        <v>275</v>
      </c>
      <c r="B85" s="5" t="s">
        <v>121</v>
      </c>
      <c r="C85" s="5" t="str">
        <f>IFERROR(INDEX(tblEmployees[Employee Name],MATCH(tblOnboarding[[#This Row],[Employee ID]],tblEmployees[Employee ID],0)),"ID not found")</f>
        <v>Rutuja Sawant</v>
      </c>
      <c r="D85" s="5" t="str">
        <f>IFERROR(INDEX(tblEmployees[Department],MATCH(tblOnboarding[[#This Row],[Employee ID]],tblEmployees[Employee ID],0)),"")</f>
        <v>Sales</v>
      </c>
      <c r="E85" s="5" t="s">
        <v>177</v>
      </c>
      <c r="F85" s="5" t="s">
        <v>168</v>
      </c>
      <c r="G85" s="6">
        <v>46303</v>
      </c>
      <c r="H85" s="6">
        <v>46307</v>
      </c>
      <c r="I85" s="8" t="s">
        <v>169</v>
      </c>
      <c r="J85" s="8" t="str">
        <f>IF(OR(tblOnboarding[[#This Row],[Status]]="Completed",tblOnboarding[[#This Row],[Due Date]]=""),"No",IF(tblOnboarding[[#This Row],[Due Date]]&lt;ReportDate,"Yes","No"))</f>
        <v>No</v>
      </c>
      <c r="K85" s="9" t="str">
        <f>IF(tblOnboarding[[#This Row],[Overdue]]="Yes",ReportDate-tblOnboarding[[#This Row],[Due Date]],"")</f>
        <v/>
      </c>
      <c r="L85" s="8" t="str">
        <f>IF(OR(tblOnboarding[[#This Row],[Status]]="Completed",tblOnboarding[[#This Row],[Due Date]]=""),"No",IF(AND(tblOnboarding[[#This Row],[Due Date]]&gt;=ReportDate,tblOnboarding[[#This Row],[Due Date]]&lt;=ReportDate+DueSoonDays),"Yes","No"))</f>
        <v>No</v>
      </c>
      <c r="M85" s="5"/>
    </row>
    <row r="86" spans="1:13" x14ac:dyDescent="0.3">
      <c r="A86" s="5" t="s">
        <v>276</v>
      </c>
      <c r="B86" s="5" t="s">
        <v>121</v>
      </c>
      <c r="C86" s="5" t="str">
        <f>IFERROR(INDEX(tblEmployees[Employee Name],MATCH(tblOnboarding[[#This Row],[Employee ID]],tblEmployees[Employee ID],0)),"ID not found")</f>
        <v>Rutuja Sawant</v>
      </c>
      <c r="D86" s="5" t="str">
        <f>IFERROR(INDEX(tblEmployees[Department],MATCH(tblOnboarding[[#This Row],[Employee ID]],tblEmployees[Employee ID],0)),"")</f>
        <v>Sales</v>
      </c>
      <c r="E86" s="5" t="s">
        <v>179</v>
      </c>
      <c r="F86" s="5" t="s">
        <v>168</v>
      </c>
      <c r="G86" s="6">
        <v>46302</v>
      </c>
      <c r="H86" s="6">
        <v>46302</v>
      </c>
      <c r="I86" s="8" t="s">
        <v>169</v>
      </c>
      <c r="J86" s="8" t="str">
        <f>IF(OR(tblOnboarding[[#This Row],[Status]]="Completed",tblOnboarding[[#This Row],[Due Date]]=""),"No",IF(tblOnboarding[[#This Row],[Due Date]]&lt;ReportDate,"Yes","No"))</f>
        <v>No</v>
      </c>
      <c r="K86" s="9" t="str">
        <f>IF(tblOnboarding[[#This Row],[Overdue]]="Yes",ReportDate-tblOnboarding[[#This Row],[Due Date]],"")</f>
        <v/>
      </c>
      <c r="L86" s="8" t="str">
        <f>IF(OR(tblOnboarding[[#This Row],[Status]]="Completed",tblOnboarding[[#This Row],[Due Date]]=""),"No",IF(AND(tblOnboarding[[#This Row],[Due Date]]&gt;=ReportDate,tblOnboarding[[#This Row],[Due Date]]&lt;=ReportDate+DueSoonDays),"Yes","No"))</f>
        <v>No</v>
      </c>
      <c r="M86" s="5"/>
    </row>
    <row r="87" spans="1:13" x14ac:dyDescent="0.3">
      <c r="A87" s="5" t="s">
        <v>277</v>
      </c>
      <c r="B87" s="5" t="s">
        <v>121</v>
      </c>
      <c r="C87" s="5" t="str">
        <f>IFERROR(INDEX(tblEmployees[Employee Name],MATCH(tblOnboarding[[#This Row],[Employee ID]],tblEmployees[Employee ID],0)),"ID not found")</f>
        <v>Rutuja Sawant</v>
      </c>
      <c r="D87" s="5" t="str">
        <f>IFERROR(INDEX(tblEmployees[Department],MATCH(tblOnboarding[[#This Row],[Employee ID]],tblEmployees[Employee ID],0)),"")</f>
        <v>Sales</v>
      </c>
      <c r="E87" s="5" t="s">
        <v>181</v>
      </c>
      <c r="F87" s="5" t="s">
        <v>182</v>
      </c>
      <c r="G87" s="6">
        <v>46307</v>
      </c>
      <c r="H87" s="6">
        <v>46307</v>
      </c>
      <c r="I87" s="8" t="s">
        <v>169</v>
      </c>
      <c r="J87" s="8" t="str">
        <f>IF(OR(tblOnboarding[[#This Row],[Status]]="Completed",tblOnboarding[[#This Row],[Due Date]]=""),"No",IF(tblOnboarding[[#This Row],[Due Date]]&lt;ReportDate,"Yes","No"))</f>
        <v>No</v>
      </c>
      <c r="K87" s="9" t="str">
        <f>IF(tblOnboarding[[#This Row],[Overdue]]="Yes",ReportDate-tblOnboarding[[#This Row],[Due Date]],"")</f>
        <v/>
      </c>
      <c r="L87" s="8" t="str">
        <f>IF(OR(tblOnboarding[[#This Row],[Status]]="Completed",tblOnboarding[[#This Row],[Due Date]]=""),"No",IF(AND(tblOnboarding[[#This Row],[Due Date]]&gt;=ReportDate,tblOnboarding[[#This Row],[Due Date]]&lt;=ReportDate+DueSoonDays),"Yes","No"))</f>
        <v>No</v>
      </c>
      <c r="M87" s="5"/>
    </row>
    <row r="88" spans="1:13" x14ac:dyDescent="0.3">
      <c r="A88" s="5" t="s">
        <v>278</v>
      </c>
      <c r="B88" s="5" t="s">
        <v>121</v>
      </c>
      <c r="C88" s="5" t="str">
        <f>IFERROR(INDEX(tblEmployees[Employee Name],MATCH(tblOnboarding[[#This Row],[Employee ID]],tblEmployees[Employee ID],0)),"ID not found")</f>
        <v>Rutuja Sawant</v>
      </c>
      <c r="D88" s="5" t="str">
        <f>IFERROR(INDEX(tblEmployees[Department],MATCH(tblOnboarding[[#This Row],[Employee ID]],tblEmployees[Employee ID],0)),"")</f>
        <v>Sales</v>
      </c>
      <c r="E88" s="5" t="s">
        <v>184</v>
      </c>
      <c r="F88" s="5" t="s">
        <v>5</v>
      </c>
      <c r="G88" s="6">
        <v>46307</v>
      </c>
      <c r="H88" s="6">
        <v>46309</v>
      </c>
      <c r="I88" s="8" t="s">
        <v>169</v>
      </c>
      <c r="J88" s="8" t="str">
        <f>IF(OR(tblOnboarding[[#This Row],[Status]]="Completed",tblOnboarding[[#This Row],[Due Date]]=""),"No",IF(tblOnboarding[[#This Row],[Due Date]]&lt;ReportDate,"Yes","No"))</f>
        <v>No</v>
      </c>
      <c r="K88" s="9" t="str">
        <f>IF(tblOnboarding[[#This Row],[Overdue]]="Yes",ReportDate-tblOnboarding[[#This Row],[Due Date]],"")</f>
        <v/>
      </c>
      <c r="L88" s="8" t="str">
        <f>IF(OR(tblOnboarding[[#This Row],[Status]]="Completed",tblOnboarding[[#This Row],[Due Date]]=""),"No",IF(AND(tblOnboarding[[#This Row],[Due Date]]&gt;=ReportDate,tblOnboarding[[#This Row],[Due Date]]&lt;=ReportDate+DueSoonDays),"Yes","No"))</f>
        <v>No</v>
      </c>
      <c r="M88" s="5"/>
    </row>
    <row r="89" spans="1:13" x14ac:dyDescent="0.3">
      <c r="A89" s="5" t="s">
        <v>279</v>
      </c>
      <c r="B89" s="5" t="s">
        <v>121</v>
      </c>
      <c r="C89" s="5" t="str">
        <f>IFERROR(INDEX(tblEmployees[Employee Name],MATCH(tblOnboarding[[#This Row],[Employee ID]],tblEmployees[Employee ID],0)),"ID not found")</f>
        <v>Rutuja Sawant</v>
      </c>
      <c r="D89" s="5" t="str">
        <f>IFERROR(INDEX(tblEmployees[Department],MATCH(tblOnboarding[[#This Row],[Employee ID]],tblEmployees[Employee ID],0)),"")</f>
        <v>Sales</v>
      </c>
      <c r="E89" s="5" t="s">
        <v>186</v>
      </c>
      <c r="F89" s="5" t="s">
        <v>168</v>
      </c>
      <c r="G89" s="6">
        <v>46314</v>
      </c>
      <c r="H89" s="6"/>
      <c r="I89" s="8" t="s">
        <v>205</v>
      </c>
      <c r="J89" s="8" t="str">
        <f>IF(OR(tblOnboarding[[#This Row],[Status]]="Completed",tblOnboarding[[#This Row],[Due Date]]=""),"No",IF(tblOnboarding[[#This Row],[Due Date]]&lt;ReportDate,"Yes","No"))</f>
        <v>No</v>
      </c>
      <c r="K89" s="9" t="str">
        <f>IF(tblOnboarding[[#This Row],[Overdue]]="Yes",ReportDate-tblOnboarding[[#This Row],[Due Date]],"")</f>
        <v/>
      </c>
      <c r="L89" s="8" t="str">
        <f>IF(OR(tblOnboarding[[#This Row],[Status]]="Completed",tblOnboarding[[#This Row],[Due Date]]=""),"No",IF(AND(tblOnboarding[[#This Row],[Due Date]]&gt;=ReportDate,tblOnboarding[[#This Row],[Due Date]]&lt;=ReportDate+DueSoonDays),"Yes","No"))</f>
        <v>Yes</v>
      </c>
      <c r="M89" s="5"/>
    </row>
    <row r="90" spans="1:13" x14ac:dyDescent="0.3">
      <c r="A90" s="5" t="s">
        <v>280</v>
      </c>
      <c r="B90" s="5" t="s">
        <v>110</v>
      </c>
      <c r="C90" s="5" t="str">
        <f>IFERROR(INDEX(tblEmployees[Employee Name],MATCH(tblOnboarding[[#This Row],[Employee ID]],tblEmployees[Employee ID],0)),"ID not found")</f>
        <v>Pratik Iyer</v>
      </c>
      <c r="D90" s="5" t="str">
        <f>IFERROR(INDEX(tblEmployees[Department],MATCH(tblOnboarding[[#This Row],[Employee ID]],tblEmployees[Employee ID],0)),"")</f>
        <v>Administration</v>
      </c>
      <c r="E90" s="5" t="s">
        <v>167</v>
      </c>
      <c r="F90" s="5" t="s">
        <v>168</v>
      </c>
      <c r="G90" s="6">
        <v>46301</v>
      </c>
      <c r="H90" s="6">
        <v>46302</v>
      </c>
      <c r="I90" s="8" t="s">
        <v>169</v>
      </c>
      <c r="J90" s="8" t="str">
        <f>IF(OR(tblOnboarding[[#This Row],[Status]]="Completed",tblOnboarding[[#This Row],[Due Date]]=""),"No",IF(tblOnboarding[[#This Row],[Due Date]]&lt;ReportDate,"Yes","No"))</f>
        <v>No</v>
      </c>
      <c r="K90" s="9" t="str">
        <f>IF(tblOnboarding[[#This Row],[Overdue]]="Yes",ReportDate-tblOnboarding[[#This Row],[Due Date]],"")</f>
        <v/>
      </c>
      <c r="L90" s="8" t="str">
        <f>IF(OR(tblOnboarding[[#This Row],[Status]]="Completed",tblOnboarding[[#This Row],[Due Date]]=""),"No",IF(AND(tblOnboarding[[#This Row],[Due Date]]&gt;=ReportDate,tblOnboarding[[#This Row],[Due Date]]&lt;=ReportDate+DueSoonDays),"Yes","No"))</f>
        <v>No</v>
      </c>
      <c r="M90" s="5"/>
    </row>
    <row r="91" spans="1:13" x14ac:dyDescent="0.3">
      <c r="A91" s="5" t="s">
        <v>281</v>
      </c>
      <c r="B91" s="5" t="s">
        <v>110</v>
      </c>
      <c r="C91" s="5" t="str">
        <f>IFERROR(INDEX(tblEmployees[Employee Name],MATCH(tblOnboarding[[#This Row],[Employee ID]],tblEmployees[Employee ID],0)),"ID not found")</f>
        <v>Pratik Iyer</v>
      </c>
      <c r="D91" s="5" t="str">
        <f>IFERROR(INDEX(tblEmployees[Department],MATCH(tblOnboarding[[#This Row],[Employee ID]],tblEmployees[Employee ID],0)),"")</f>
        <v>Administration</v>
      </c>
      <c r="E91" s="5" t="s">
        <v>172</v>
      </c>
      <c r="F91" s="5" t="s">
        <v>168</v>
      </c>
      <c r="G91" s="6">
        <v>46302</v>
      </c>
      <c r="H91" s="6">
        <v>46307</v>
      </c>
      <c r="I91" s="8" t="s">
        <v>169</v>
      </c>
      <c r="J91" s="8" t="str">
        <f>IF(OR(tblOnboarding[[#This Row],[Status]]="Completed",tblOnboarding[[#This Row],[Due Date]]=""),"No",IF(tblOnboarding[[#This Row],[Due Date]]&lt;ReportDate,"Yes","No"))</f>
        <v>No</v>
      </c>
      <c r="K91" s="9" t="str">
        <f>IF(tblOnboarding[[#This Row],[Overdue]]="Yes",ReportDate-tblOnboarding[[#This Row],[Due Date]],"")</f>
        <v/>
      </c>
      <c r="L91" s="8" t="str">
        <f>IF(OR(tblOnboarding[[#This Row],[Status]]="Completed",tblOnboarding[[#This Row],[Due Date]]=""),"No",IF(AND(tblOnboarding[[#This Row],[Due Date]]&gt;=ReportDate,tblOnboarding[[#This Row],[Due Date]]&lt;=ReportDate+DueSoonDays),"Yes","No"))</f>
        <v>No</v>
      </c>
      <c r="M91" s="5" t="s">
        <v>196</v>
      </c>
    </row>
    <row r="92" spans="1:13" x14ac:dyDescent="0.3">
      <c r="A92" s="5" t="s">
        <v>282</v>
      </c>
      <c r="B92" s="5" t="s">
        <v>110</v>
      </c>
      <c r="C92" s="5" t="str">
        <f>IFERROR(INDEX(tblEmployees[Employee Name],MATCH(tblOnboarding[[#This Row],[Employee ID]],tblEmployees[Employee ID],0)),"ID not found")</f>
        <v>Pratik Iyer</v>
      </c>
      <c r="D92" s="5" t="str">
        <f>IFERROR(INDEX(tblEmployees[Department],MATCH(tblOnboarding[[#This Row],[Employee ID]],tblEmployees[Employee ID],0)),"")</f>
        <v>Administration</v>
      </c>
      <c r="E92" s="5" t="s">
        <v>174</v>
      </c>
      <c r="F92" s="5" t="s">
        <v>175</v>
      </c>
      <c r="G92" s="6">
        <v>46301</v>
      </c>
      <c r="H92" s="6">
        <v>46301</v>
      </c>
      <c r="I92" s="8" t="s">
        <v>169</v>
      </c>
      <c r="J92" s="8" t="str">
        <f>IF(OR(tblOnboarding[[#This Row],[Status]]="Completed",tblOnboarding[[#This Row],[Due Date]]=""),"No",IF(tblOnboarding[[#This Row],[Due Date]]&lt;ReportDate,"Yes","No"))</f>
        <v>No</v>
      </c>
      <c r="K92" s="9" t="str">
        <f>IF(tblOnboarding[[#This Row],[Overdue]]="Yes",ReportDate-tblOnboarding[[#This Row],[Due Date]],"")</f>
        <v/>
      </c>
      <c r="L92" s="8" t="str">
        <f>IF(OR(tblOnboarding[[#This Row],[Status]]="Completed",tblOnboarding[[#This Row],[Due Date]]=""),"No",IF(AND(tblOnboarding[[#This Row],[Due Date]]&gt;=ReportDate,tblOnboarding[[#This Row],[Due Date]]&lt;=ReportDate+DueSoonDays),"Yes","No"))</f>
        <v>No</v>
      </c>
      <c r="M92" s="5"/>
    </row>
    <row r="93" spans="1:13" x14ac:dyDescent="0.3">
      <c r="A93" s="5" t="s">
        <v>283</v>
      </c>
      <c r="B93" s="5" t="s">
        <v>110</v>
      </c>
      <c r="C93" s="5" t="str">
        <f>IFERROR(INDEX(tblEmployees[Employee Name],MATCH(tblOnboarding[[#This Row],[Employee ID]],tblEmployees[Employee ID],0)),"ID not found")</f>
        <v>Pratik Iyer</v>
      </c>
      <c r="D93" s="5" t="str">
        <f>IFERROR(INDEX(tblEmployees[Department],MATCH(tblOnboarding[[#This Row],[Employee ID]],tblEmployees[Employee ID],0)),"")</f>
        <v>Administration</v>
      </c>
      <c r="E93" s="5" t="s">
        <v>177</v>
      </c>
      <c r="F93" s="5" t="s">
        <v>168</v>
      </c>
      <c r="G93" s="6">
        <v>46303</v>
      </c>
      <c r="H93" s="6">
        <v>46303</v>
      </c>
      <c r="I93" s="8" t="s">
        <v>169</v>
      </c>
      <c r="J93" s="8" t="str">
        <f>IF(OR(tblOnboarding[[#This Row],[Status]]="Completed",tblOnboarding[[#This Row],[Due Date]]=""),"No",IF(tblOnboarding[[#This Row],[Due Date]]&lt;ReportDate,"Yes","No"))</f>
        <v>No</v>
      </c>
      <c r="K93" s="9" t="str">
        <f>IF(tblOnboarding[[#This Row],[Overdue]]="Yes",ReportDate-tblOnboarding[[#This Row],[Due Date]],"")</f>
        <v/>
      </c>
      <c r="L93" s="8" t="str">
        <f>IF(OR(tblOnboarding[[#This Row],[Status]]="Completed",tblOnboarding[[#This Row],[Due Date]]=""),"No",IF(AND(tblOnboarding[[#This Row],[Due Date]]&gt;=ReportDate,tblOnboarding[[#This Row],[Due Date]]&lt;=ReportDate+DueSoonDays),"Yes","No"))</f>
        <v>No</v>
      </c>
      <c r="M93" s="5"/>
    </row>
    <row r="94" spans="1:13" x14ac:dyDescent="0.3">
      <c r="A94" s="5" t="s">
        <v>284</v>
      </c>
      <c r="B94" s="5" t="s">
        <v>110</v>
      </c>
      <c r="C94" s="5" t="str">
        <f>IFERROR(INDEX(tblEmployees[Employee Name],MATCH(tblOnboarding[[#This Row],[Employee ID]],tblEmployees[Employee ID],0)),"ID not found")</f>
        <v>Pratik Iyer</v>
      </c>
      <c r="D94" s="5" t="str">
        <f>IFERROR(INDEX(tblEmployees[Department],MATCH(tblOnboarding[[#This Row],[Employee ID]],tblEmployees[Employee ID],0)),"")</f>
        <v>Administration</v>
      </c>
      <c r="E94" s="5" t="s">
        <v>179</v>
      </c>
      <c r="F94" s="5" t="s">
        <v>168</v>
      </c>
      <c r="G94" s="6">
        <v>46302</v>
      </c>
      <c r="H94" s="6">
        <v>46307</v>
      </c>
      <c r="I94" s="8" t="s">
        <v>169</v>
      </c>
      <c r="J94" s="8" t="str">
        <f>IF(OR(tblOnboarding[[#This Row],[Status]]="Completed",tblOnboarding[[#This Row],[Due Date]]=""),"No",IF(tblOnboarding[[#This Row],[Due Date]]&lt;ReportDate,"Yes","No"))</f>
        <v>No</v>
      </c>
      <c r="K94" s="9" t="str">
        <f>IF(tblOnboarding[[#This Row],[Overdue]]="Yes",ReportDate-tblOnboarding[[#This Row],[Due Date]],"")</f>
        <v/>
      </c>
      <c r="L94" s="8" t="str">
        <f>IF(OR(tblOnboarding[[#This Row],[Status]]="Completed",tblOnboarding[[#This Row],[Due Date]]=""),"No",IF(AND(tblOnboarding[[#This Row],[Due Date]]&gt;=ReportDate,tblOnboarding[[#This Row],[Due Date]]&lt;=ReportDate+DueSoonDays),"Yes","No"))</f>
        <v>No</v>
      </c>
      <c r="M94" s="5" t="s">
        <v>170</v>
      </c>
    </row>
    <row r="95" spans="1:13" x14ac:dyDescent="0.3">
      <c r="A95" s="5" t="s">
        <v>285</v>
      </c>
      <c r="B95" s="5" t="s">
        <v>110</v>
      </c>
      <c r="C95" s="5" t="str">
        <f>IFERROR(INDEX(tblEmployees[Employee Name],MATCH(tblOnboarding[[#This Row],[Employee ID]],tblEmployees[Employee ID],0)),"ID not found")</f>
        <v>Pratik Iyer</v>
      </c>
      <c r="D95" s="5" t="str">
        <f>IFERROR(INDEX(tblEmployees[Department],MATCH(tblOnboarding[[#This Row],[Employee ID]],tblEmployees[Employee ID],0)),"")</f>
        <v>Administration</v>
      </c>
      <c r="E95" s="5" t="s">
        <v>181</v>
      </c>
      <c r="F95" s="5" t="s">
        <v>182</v>
      </c>
      <c r="G95" s="6">
        <v>46307</v>
      </c>
      <c r="H95" s="6">
        <v>46307</v>
      </c>
      <c r="I95" s="8" t="s">
        <v>169</v>
      </c>
      <c r="J95" s="8" t="str">
        <f>IF(OR(tblOnboarding[[#This Row],[Status]]="Completed",tblOnboarding[[#This Row],[Due Date]]=""),"No",IF(tblOnboarding[[#This Row],[Due Date]]&lt;ReportDate,"Yes","No"))</f>
        <v>No</v>
      </c>
      <c r="K95" s="9" t="str">
        <f>IF(tblOnboarding[[#This Row],[Overdue]]="Yes",ReportDate-tblOnboarding[[#This Row],[Due Date]],"")</f>
        <v/>
      </c>
      <c r="L95" s="8" t="str">
        <f>IF(OR(tblOnboarding[[#This Row],[Status]]="Completed",tblOnboarding[[#This Row],[Due Date]]=""),"No",IF(AND(tblOnboarding[[#This Row],[Due Date]]&gt;=ReportDate,tblOnboarding[[#This Row],[Due Date]]&lt;=ReportDate+DueSoonDays),"Yes","No"))</f>
        <v>No</v>
      </c>
      <c r="M95" s="5"/>
    </row>
    <row r="96" spans="1:13" x14ac:dyDescent="0.3">
      <c r="A96" s="5" t="s">
        <v>286</v>
      </c>
      <c r="B96" s="5" t="s">
        <v>110</v>
      </c>
      <c r="C96" s="5" t="str">
        <f>IFERROR(INDEX(tblEmployees[Employee Name],MATCH(tblOnboarding[[#This Row],[Employee ID]],tblEmployees[Employee ID],0)),"ID not found")</f>
        <v>Pratik Iyer</v>
      </c>
      <c r="D96" s="5" t="str">
        <f>IFERROR(INDEX(tblEmployees[Department],MATCH(tblOnboarding[[#This Row],[Employee ID]],tblEmployees[Employee ID],0)),"")</f>
        <v>Administration</v>
      </c>
      <c r="E96" s="5" t="s">
        <v>184</v>
      </c>
      <c r="F96" s="5" t="s">
        <v>5</v>
      </c>
      <c r="G96" s="6">
        <v>46307</v>
      </c>
      <c r="H96" s="6"/>
      <c r="I96" s="8" t="s">
        <v>205</v>
      </c>
      <c r="J96" s="8" t="str">
        <f>IF(OR(tblOnboarding[[#This Row],[Status]]="Completed",tblOnboarding[[#This Row],[Due Date]]=""),"No",IF(tblOnboarding[[#This Row],[Due Date]]&lt;ReportDate,"Yes","No"))</f>
        <v>Yes</v>
      </c>
      <c r="K96" s="9">
        <f>IF(tblOnboarding[[#This Row],[Overdue]]="Yes",ReportDate-tblOnboarding[[#This Row],[Due Date]],"")</f>
        <v>4</v>
      </c>
      <c r="L96" s="8" t="str">
        <f>IF(OR(tblOnboarding[[#This Row],[Status]]="Completed",tblOnboarding[[#This Row],[Due Date]]=""),"No",IF(AND(tblOnboarding[[#This Row],[Due Date]]&gt;=ReportDate,tblOnboarding[[#This Row],[Due Date]]&lt;=ReportDate+DueSoonDays),"Yes","No"))</f>
        <v>No</v>
      </c>
      <c r="M96" s="5" t="s">
        <v>287</v>
      </c>
    </row>
    <row r="97" spans="1:13" x14ac:dyDescent="0.3">
      <c r="A97" s="5" t="s">
        <v>288</v>
      </c>
      <c r="B97" s="5" t="s">
        <v>110</v>
      </c>
      <c r="C97" s="5" t="str">
        <f>IFERROR(INDEX(tblEmployees[Employee Name],MATCH(tblOnboarding[[#This Row],[Employee ID]],tblEmployees[Employee ID],0)),"ID not found")</f>
        <v>Pratik Iyer</v>
      </c>
      <c r="D97" s="5" t="str">
        <f>IFERROR(INDEX(tblEmployees[Department],MATCH(tblOnboarding[[#This Row],[Employee ID]],tblEmployees[Employee ID],0)),"")</f>
        <v>Administration</v>
      </c>
      <c r="E97" s="5" t="s">
        <v>186</v>
      </c>
      <c r="F97" s="5" t="s">
        <v>168</v>
      </c>
      <c r="G97" s="6">
        <v>46314</v>
      </c>
      <c r="H97" s="6"/>
      <c r="I97" s="8" t="s">
        <v>187</v>
      </c>
      <c r="J97" s="8" t="str">
        <f>IF(OR(tblOnboarding[[#This Row],[Status]]="Completed",tblOnboarding[[#This Row],[Due Date]]=""),"No",IF(tblOnboarding[[#This Row],[Due Date]]&lt;ReportDate,"Yes","No"))</f>
        <v>No</v>
      </c>
      <c r="K97" s="9" t="str">
        <f>IF(tblOnboarding[[#This Row],[Overdue]]="Yes",ReportDate-tblOnboarding[[#This Row],[Due Date]],"")</f>
        <v/>
      </c>
      <c r="L97" s="8" t="str">
        <f>IF(OR(tblOnboarding[[#This Row],[Status]]="Completed",tblOnboarding[[#This Row],[Due Date]]=""),"No",IF(AND(tblOnboarding[[#This Row],[Due Date]]&gt;=ReportDate,tblOnboarding[[#This Row],[Due Date]]&lt;=ReportDate+DueSoonDays),"Yes","No"))</f>
        <v>Yes</v>
      </c>
      <c r="M97" s="5"/>
    </row>
    <row r="98" spans="1:13" x14ac:dyDescent="0.3">
      <c r="A98" s="5" t="s">
        <v>289</v>
      </c>
      <c r="B98" s="5" t="s">
        <v>71</v>
      </c>
      <c r="C98" s="5" t="str">
        <f>IFERROR(INDEX(tblEmployees[Employee Name],MATCH(tblOnboarding[[#This Row],[Employee ID]],tblEmployees[Employee ID],0)),"ID not found")</f>
        <v>Kavya Pawar</v>
      </c>
      <c r="D98" s="5" t="str">
        <f>IFERROR(INDEX(tblEmployees[Department],MATCH(tblOnboarding[[#This Row],[Employee ID]],tblEmployees[Employee ID],0)),"")</f>
        <v>Information Technology</v>
      </c>
      <c r="E98" s="5" t="s">
        <v>167</v>
      </c>
      <c r="F98" s="5" t="s">
        <v>168</v>
      </c>
      <c r="G98" s="6">
        <v>46304</v>
      </c>
      <c r="H98" s="6">
        <v>46309</v>
      </c>
      <c r="I98" s="8" t="s">
        <v>169</v>
      </c>
      <c r="J98" s="8" t="str">
        <f>IF(OR(tblOnboarding[[#This Row],[Status]]="Completed",tblOnboarding[[#This Row],[Due Date]]=""),"No",IF(tblOnboarding[[#This Row],[Due Date]]&lt;ReportDate,"Yes","No"))</f>
        <v>No</v>
      </c>
      <c r="K98" s="9" t="str">
        <f>IF(tblOnboarding[[#This Row],[Overdue]]="Yes",ReportDate-tblOnboarding[[#This Row],[Due Date]],"")</f>
        <v/>
      </c>
      <c r="L98" s="8" t="str">
        <f>IF(OR(tblOnboarding[[#This Row],[Status]]="Completed",tblOnboarding[[#This Row],[Due Date]]=""),"No",IF(AND(tblOnboarding[[#This Row],[Due Date]]&gt;=ReportDate,tblOnboarding[[#This Row],[Due Date]]&lt;=ReportDate+DueSoonDays),"Yes","No"))</f>
        <v>No</v>
      </c>
      <c r="M98" s="5"/>
    </row>
    <row r="99" spans="1:13" x14ac:dyDescent="0.3">
      <c r="A99" s="5" t="s">
        <v>290</v>
      </c>
      <c r="B99" s="5" t="s">
        <v>71</v>
      </c>
      <c r="C99" s="5" t="str">
        <f>IFERROR(INDEX(tblEmployees[Employee Name],MATCH(tblOnboarding[[#This Row],[Employee ID]],tblEmployees[Employee ID],0)),"ID not found")</f>
        <v>Kavya Pawar</v>
      </c>
      <c r="D99" s="5" t="str">
        <f>IFERROR(INDEX(tblEmployees[Department],MATCH(tblOnboarding[[#This Row],[Employee ID]],tblEmployees[Employee ID],0)),"")</f>
        <v>Information Technology</v>
      </c>
      <c r="E99" s="5" t="s">
        <v>172</v>
      </c>
      <c r="F99" s="5" t="s">
        <v>168</v>
      </c>
      <c r="G99" s="6">
        <v>46307</v>
      </c>
      <c r="H99" s="6">
        <v>46307</v>
      </c>
      <c r="I99" s="8" t="s">
        <v>169</v>
      </c>
      <c r="J99" s="8" t="str">
        <f>IF(OR(tblOnboarding[[#This Row],[Status]]="Completed",tblOnboarding[[#This Row],[Due Date]]=""),"No",IF(tblOnboarding[[#This Row],[Due Date]]&lt;ReportDate,"Yes","No"))</f>
        <v>No</v>
      </c>
      <c r="K99" s="9" t="str">
        <f>IF(tblOnboarding[[#This Row],[Overdue]]="Yes",ReportDate-tblOnboarding[[#This Row],[Due Date]],"")</f>
        <v/>
      </c>
      <c r="L99" s="8" t="str">
        <f>IF(OR(tblOnboarding[[#This Row],[Status]]="Completed",tblOnboarding[[#This Row],[Due Date]]=""),"No",IF(AND(tblOnboarding[[#This Row],[Due Date]]&gt;=ReportDate,tblOnboarding[[#This Row],[Due Date]]&lt;=ReportDate+DueSoonDays),"Yes","No"))</f>
        <v>No</v>
      </c>
      <c r="M99" s="5"/>
    </row>
    <row r="100" spans="1:13" x14ac:dyDescent="0.3">
      <c r="A100" s="5" t="s">
        <v>291</v>
      </c>
      <c r="B100" s="5" t="s">
        <v>71</v>
      </c>
      <c r="C100" s="5" t="str">
        <f>IFERROR(INDEX(tblEmployees[Employee Name],MATCH(tblOnboarding[[#This Row],[Employee ID]],tblEmployees[Employee ID],0)),"ID not found")</f>
        <v>Kavya Pawar</v>
      </c>
      <c r="D100" s="5" t="str">
        <f>IFERROR(INDEX(tblEmployees[Department],MATCH(tblOnboarding[[#This Row],[Employee ID]],tblEmployees[Employee ID],0)),"")</f>
        <v>Information Technology</v>
      </c>
      <c r="E100" s="5" t="s">
        <v>174</v>
      </c>
      <c r="F100" s="5" t="s">
        <v>175</v>
      </c>
      <c r="G100" s="6">
        <v>46304</v>
      </c>
      <c r="H100" s="6">
        <v>46307</v>
      </c>
      <c r="I100" s="8" t="s">
        <v>169</v>
      </c>
      <c r="J100" s="8" t="str">
        <f>IF(OR(tblOnboarding[[#This Row],[Status]]="Completed",tblOnboarding[[#This Row],[Due Date]]=""),"No",IF(tblOnboarding[[#This Row],[Due Date]]&lt;ReportDate,"Yes","No"))</f>
        <v>No</v>
      </c>
      <c r="K100" s="9" t="str">
        <f>IF(tblOnboarding[[#This Row],[Overdue]]="Yes",ReportDate-tblOnboarding[[#This Row],[Due Date]],"")</f>
        <v/>
      </c>
      <c r="L100" s="8" t="str">
        <f>IF(OR(tblOnboarding[[#This Row],[Status]]="Completed",tblOnboarding[[#This Row],[Due Date]]=""),"No",IF(AND(tblOnboarding[[#This Row],[Due Date]]&gt;=ReportDate,tblOnboarding[[#This Row],[Due Date]]&lt;=ReportDate+DueSoonDays),"Yes","No"))</f>
        <v>No</v>
      </c>
      <c r="M100" s="5"/>
    </row>
    <row r="101" spans="1:13" x14ac:dyDescent="0.3">
      <c r="A101" s="5" t="s">
        <v>292</v>
      </c>
      <c r="B101" s="5" t="s">
        <v>71</v>
      </c>
      <c r="C101" s="5" t="str">
        <f>IFERROR(INDEX(tblEmployees[Employee Name],MATCH(tblOnboarding[[#This Row],[Employee ID]],tblEmployees[Employee ID],0)),"ID not found")</f>
        <v>Kavya Pawar</v>
      </c>
      <c r="D101" s="5" t="str">
        <f>IFERROR(INDEX(tblEmployees[Department],MATCH(tblOnboarding[[#This Row],[Employee ID]],tblEmployees[Employee ID],0)),"")</f>
        <v>Information Technology</v>
      </c>
      <c r="E101" s="5" t="s">
        <v>177</v>
      </c>
      <c r="F101" s="5" t="s">
        <v>168</v>
      </c>
      <c r="G101" s="6">
        <v>46307</v>
      </c>
      <c r="H101" s="6">
        <v>46309</v>
      </c>
      <c r="I101" s="8" t="s">
        <v>169</v>
      </c>
      <c r="J101" s="8" t="str">
        <f>IF(OR(tblOnboarding[[#This Row],[Status]]="Completed",tblOnboarding[[#This Row],[Due Date]]=""),"No",IF(tblOnboarding[[#This Row],[Due Date]]&lt;ReportDate,"Yes","No"))</f>
        <v>No</v>
      </c>
      <c r="K101" s="9" t="str">
        <f>IF(tblOnboarding[[#This Row],[Overdue]]="Yes",ReportDate-tblOnboarding[[#This Row],[Due Date]],"")</f>
        <v/>
      </c>
      <c r="L101" s="8" t="str">
        <f>IF(OR(tblOnboarding[[#This Row],[Status]]="Completed",tblOnboarding[[#This Row],[Due Date]]=""),"No",IF(AND(tblOnboarding[[#This Row],[Due Date]]&gt;=ReportDate,tblOnboarding[[#This Row],[Due Date]]&lt;=ReportDate+DueSoonDays),"Yes","No"))</f>
        <v>No</v>
      </c>
      <c r="M101" s="5"/>
    </row>
    <row r="102" spans="1:13" x14ac:dyDescent="0.3">
      <c r="A102" s="5" t="s">
        <v>293</v>
      </c>
      <c r="B102" s="5" t="s">
        <v>71</v>
      </c>
      <c r="C102" s="5" t="str">
        <f>IFERROR(INDEX(tblEmployees[Employee Name],MATCH(tblOnboarding[[#This Row],[Employee ID]],tblEmployees[Employee ID],0)),"ID not found")</f>
        <v>Kavya Pawar</v>
      </c>
      <c r="D102" s="5" t="str">
        <f>IFERROR(INDEX(tblEmployees[Department],MATCH(tblOnboarding[[#This Row],[Employee ID]],tblEmployees[Employee ID],0)),"")</f>
        <v>Information Technology</v>
      </c>
      <c r="E102" s="5" t="s">
        <v>179</v>
      </c>
      <c r="F102" s="5" t="s">
        <v>168</v>
      </c>
      <c r="G102" s="6">
        <v>46307</v>
      </c>
      <c r="H102" s="6">
        <v>46309</v>
      </c>
      <c r="I102" s="8" t="s">
        <v>169</v>
      </c>
      <c r="J102" s="8" t="str">
        <f>IF(OR(tblOnboarding[[#This Row],[Status]]="Completed",tblOnboarding[[#This Row],[Due Date]]=""),"No",IF(tblOnboarding[[#This Row],[Due Date]]&lt;ReportDate,"Yes","No"))</f>
        <v>No</v>
      </c>
      <c r="K102" s="9" t="str">
        <f>IF(tblOnboarding[[#This Row],[Overdue]]="Yes",ReportDate-tblOnboarding[[#This Row],[Due Date]],"")</f>
        <v/>
      </c>
      <c r="L102" s="8" t="str">
        <f>IF(OR(tblOnboarding[[#This Row],[Status]]="Completed",tblOnboarding[[#This Row],[Due Date]]=""),"No",IF(AND(tblOnboarding[[#This Row],[Due Date]]&gt;=ReportDate,tblOnboarding[[#This Row],[Due Date]]&lt;=ReportDate+DueSoonDays),"Yes","No"))</f>
        <v>No</v>
      </c>
      <c r="M102" s="5"/>
    </row>
    <row r="103" spans="1:13" x14ac:dyDescent="0.3">
      <c r="A103" s="5" t="s">
        <v>294</v>
      </c>
      <c r="B103" s="5" t="s">
        <v>71</v>
      </c>
      <c r="C103" s="5" t="str">
        <f>IFERROR(INDEX(tblEmployees[Employee Name],MATCH(tblOnboarding[[#This Row],[Employee ID]],tblEmployees[Employee ID],0)),"ID not found")</f>
        <v>Kavya Pawar</v>
      </c>
      <c r="D103" s="5" t="str">
        <f>IFERROR(INDEX(tblEmployees[Department],MATCH(tblOnboarding[[#This Row],[Employee ID]],tblEmployees[Employee ID],0)),"")</f>
        <v>Information Technology</v>
      </c>
      <c r="E103" s="5" t="s">
        <v>181</v>
      </c>
      <c r="F103" s="5" t="s">
        <v>182</v>
      </c>
      <c r="G103" s="6">
        <v>46308</v>
      </c>
      <c r="H103" s="6">
        <v>46309</v>
      </c>
      <c r="I103" s="8" t="s">
        <v>169</v>
      </c>
      <c r="J103" s="8" t="str">
        <f>IF(OR(tblOnboarding[[#This Row],[Status]]="Completed",tblOnboarding[[#This Row],[Due Date]]=""),"No",IF(tblOnboarding[[#This Row],[Due Date]]&lt;ReportDate,"Yes","No"))</f>
        <v>No</v>
      </c>
      <c r="K103" s="9" t="str">
        <f>IF(tblOnboarding[[#This Row],[Overdue]]="Yes",ReportDate-tblOnboarding[[#This Row],[Due Date]],"")</f>
        <v/>
      </c>
      <c r="L103" s="8" t="str">
        <f>IF(OR(tblOnboarding[[#This Row],[Status]]="Completed",tblOnboarding[[#This Row],[Due Date]]=""),"No",IF(AND(tblOnboarding[[#This Row],[Due Date]]&gt;=ReportDate,tblOnboarding[[#This Row],[Due Date]]&lt;=ReportDate+DueSoonDays),"Yes","No"))</f>
        <v>No</v>
      </c>
      <c r="M103" s="5"/>
    </row>
    <row r="104" spans="1:13" x14ac:dyDescent="0.3">
      <c r="A104" s="5" t="s">
        <v>295</v>
      </c>
      <c r="B104" s="5" t="s">
        <v>71</v>
      </c>
      <c r="C104" s="5" t="str">
        <f>IFERROR(INDEX(tblEmployees[Employee Name],MATCH(tblOnboarding[[#This Row],[Employee ID]],tblEmployees[Employee ID],0)),"ID not found")</f>
        <v>Kavya Pawar</v>
      </c>
      <c r="D104" s="5" t="str">
        <f>IFERROR(INDEX(tblEmployees[Department],MATCH(tblOnboarding[[#This Row],[Employee ID]],tblEmployees[Employee ID],0)),"")</f>
        <v>Information Technology</v>
      </c>
      <c r="E104" s="5" t="s">
        <v>184</v>
      </c>
      <c r="F104" s="5" t="s">
        <v>5</v>
      </c>
      <c r="G104" s="6">
        <v>46310</v>
      </c>
      <c r="H104" s="6">
        <v>46309</v>
      </c>
      <c r="I104" s="8" t="s">
        <v>169</v>
      </c>
      <c r="J104" s="8" t="str">
        <f>IF(OR(tblOnboarding[[#This Row],[Status]]="Completed",tblOnboarding[[#This Row],[Due Date]]=""),"No",IF(tblOnboarding[[#This Row],[Due Date]]&lt;ReportDate,"Yes","No"))</f>
        <v>No</v>
      </c>
      <c r="K104" s="9" t="str">
        <f>IF(tblOnboarding[[#This Row],[Overdue]]="Yes",ReportDate-tblOnboarding[[#This Row],[Due Date]],"")</f>
        <v/>
      </c>
      <c r="L104" s="8" t="str">
        <f>IF(OR(tblOnboarding[[#This Row],[Status]]="Completed",tblOnboarding[[#This Row],[Due Date]]=""),"No",IF(AND(tblOnboarding[[#This Row],[Due Date]]&gt;=ReportDate,tblOnboarding[[#This Row],[Due Date]]&lt;=ReportDate+DueSoonDays),"Yes","No"))</f>
        <v>No</v>
      </c>
      <c r="M104" s="5"/>
    </row>
    <row r="105" spans="1:13" x14ac:dyDescent="0.3">
      <c r="A105" s="5" t="s">
        <v>296</v>
      </c>
      <c r="B105" s="5" t="s">
        <v>71</v>
      </c>
      <c r="C105" s="5" t="str">
        <f>IFERROR(INDEX(tblEmployees[Employee Name],MATCH(tblOnboarding[[#This Row],[Employee ID]],tblEmployees[Employee ID],0)),"ID not found")</f>
        <v>Kavya Pawar</v>
      </c>
      <c r="D105" s="5" t="str">
        <f>IFERROR(INDEX(tblEmployees[Department],MATCH(tblOnboarding[[#This Row],[Employee ID]],tblEmployees[Employee ID],0)),"")</f>
        <v>Information Technology</v>
      </c>
      <c r="E105" s="5" t="s">
        <v>186</v>
      </c>
      <c r="F105" s="5" t="s">
        <v>168</v>
      </c>
      <c r="G105" s="6">
        <v>46317</v>
      </c>
      <c r="H105" s="6"/>
      <c r="I105" s="8" t="s">
        <v>187</v>
      </c>
      <c r="J105" s="8" t="str">
        <f>IF(OR(tblOnboarding[[#This Row],[Status]]="Completed",tblOnboarding[[#This Row],[Due Date]]=""),"No",IF(tblOnboarding[[#This Row],[Due Date]]&lt;ReportDate,"Yes","No"))</f>
        <v>No</v>
      </c>
      <c r="K105" s="9" t="str">
        <f>IF(tblOnboarding[[#This Row],[Overdue]]="Yes",ReportDate-tblOnboarding[[#This Row],[Due Date]],"")</f>
        <v/>
      </c>
      <c r="L105" s="8" t="str">
        <f>IF(OR(tblOnboarding[[#This Row],[Status]]="Completed",tblOnboarding[[#This Row],[Due Date]]=""),"No",IF(AND(tblOnboarding[[#This Row],[Due Date]]&gt;=ReportDate,tblOnboarding[[#This Row],[Due Date]]&lt;=ReportDate+DueSoonDays),"Yes","No"))</f>
        <v>No</v>
      </c>
      <c r="M105" s="5"/>
    </row>
    <row r="106" spans="1:13" x14ac:dyDescent="0.3">
      <c r="A106" s="5" t="s">
        <v>297</v>
      </c>
      <c r="B106" s="5" t="s">
        <v>151</v>
      </c>
      <c r="C106" s="5" t="str">
        <f>IFERROR(INDEX(tblEmployees[Employee Name],MATCH(tblOnboarding[[#This Row],[Employee ID]],tblEmployees[Employee ID],0)),"ID not found")</f>
        <v>Varun Salunkhe</v>
      </c>
      <c r="D106" s="5" t="str">
        <f>IFERROR(INDEX(tblEmployees[Department],MATCH(tblOnboarding[[#This Row],[Employee ID]],tblEmployees[Employee ID],0)),"")</f>
        <v>Operations</v>
      </c>
      <c r="E106" s="5" t="s">
        <v>167</v>
      </c>
      <c r="F106" s="5" t="s">
        <v>168</v>
      </c>
      <c r="G106" s="6">
        <v>46308</v>
      </c>
      <c r="H106" s="6"/>
      <c r="I106" s="8" t="s">
        <v>205</v>
      </c>
      <c r="J106" s="8" t="str">
        <f>IF(OR(tblOnboarding[[#This Row],[Status]]="Completed",tblOnboarding[[#This Row],[Due Date]]=""),"No",IF(tblOnboarding[[#This Row],[Due Date]]&lt;ReportDate,"Yes","No"))</f>
        <v>Yes</v>
      </c>
      <c r="K106" s="9">
        <f>IF(tblOnboarding[[#This Row],[Overdue]]="Yes",ReportDate-tblOnboarding[[#This Row],[Due Date]],"")</f>
        <v>3</v>
      </c>
      <c r="L106" s="8" t="str">
        <f>IF(OR(tblOnboarding[[#This Row],[Status]]="Completed",tblOnboarding[[#This Row],[Due Date]]=""),"No",IF(AND(tblOnboarding[[#This Row],[Due Date]]&gt;=ReportDate,tblOnboarding[[#This Row],[Due Date]]&lt;=ReportDate+DueSoonDays),"Yes","No"))</f>
        <v>No</v>
      </c>
      <c r="M106" s="5" t="s">
        <v>298</v>
      </c>
    </row>
    <row r="107" spans="1:13" x14ac:dyDescent="0.3">
      <c r="A107" s="5" t="s">
        <v>299</v>
      </c>
      <c r="B107" s="5" t="s">
        <v>151</v>
      </c>
      <c r="C107" s="5" t="str">
        <f>IFERROR(INDEX(tblEmployees[Employee Name],MATCH(tblOnboarding[[#This Row],[Employee ID]],tblEmployees[Employee ID],0)),"ID not found")</f>
        <v>Varun Salunkhe</v>
      </c>
      <c r="D107" s="5" t="str">
        <f>IFERROR(INDEX(tblEmployees[Department],MATCH(tblOnboarding[[#This Row],[Employee ID]],tblEmployees[Employee ID],0)),"")</f>
        <v>Operations</v>
      </c>
      <c r="E107" s="5" t="s">
        <v>172</v>
      </c>
      <c r="F107" s="5" t="s">
        <v>168</v>
      </c>
      <c r="G107" s="6">
        <v>46309</v>
      </c>
      <c r="H107" s="6">
        <v>46309</v>
      </c>
      <c r="I107" s="8" t="s">
        <v>169</v>
      </c>
      <c r="J107" s="8" t="str">
        <f>IF(OR(tblOnboarding[[#This Row],[Status]]="Completed",tblOnboarding[[#This Row],[Due Date]]=""),"No",IF(tblOnboarding[[#This Row],[Due Date]]&lt;ReportDate,"Yes","No"))</f>
        <v>No</v>
      </c>
      <c r="K107" s="9" t="str">
        <f>IF(tblOnboarding[[#This Row],[Overdue]]="Yes",ReportDate-tblOnboarding[[#This Row],[Due Date]],"")</f>
        <v/>
      </c>
      <c r="L107" s="8" t="str">
        <f>IF(OR(tblOnboarding[[#This Row],[Status]]="Completed",tblOnboarding[[#This Row],[Due Date]]=""),"No",IF(AND(tblOnboarding[[#This Row],[Due Date]]&gt;=ReportDate,tblOnboarding[[#This Row],[Due Date]]&lt;=ReportDate+DueSoonDays),"Yes","No"))</f>
        <v>No</v>
      </c>
      <c r="M107" s="5"/>
    </row>
    <row r="108" spans="1:13" x14ac:dyDescent="0.3">
      <c r="A108" s="5" t="s">
        <v>300</v>
      </c>
      <c r="B108" s="5" t="s">
        <v>151</v>
      </c>
      <c r="C108" s="5" t="str">
        <f>IFERROR(INDEX(tblEmployees[Employee Name],MATCH(tblOnboarding[[#This Row],[Employee ID]],tblEmployees[Employee ID],0)),"ID not found")</f>
        <v>Varun Salunkhe</v>
      </c>
      <c r="D108" s="5" t="str">
        <f>IFERROR(INDEX(tblEmployees[Department],MATCH(tblOnboarding[[#This Row],[Employee ID]],tblEmployees[Employee ID],0)),"")</f>
        <v>Operations</v>
      </c>
      <c r="E108" s="5" t="s">
        <v>174</v>
      </c>
      <c r="F108" s="5" t="s">
        <v>175</v>
      </c>
      <c r="G108" s="6">
        <v>46308</v>
      </c>
      <c r="H108" s="6">
        <v>46309</v>
      </c>
      <c r="I108" s="8" t="s">
        <v>169</v>
      </c>
      <c r="J108" s="8" t="str">
        <f>IF(OR(tblOnboarding[[#This Row],[Status]]="Completed",tblOnboarding[[#This Row],[Due Date]]=""),"No",IF(tblOnboarding[[#This Row],[Due Date]]&lt;ReportDate,"Yes","No"))</f>
        <v>No</v>
      </c>
      <c r="K108" s="9" t="str">
        <f>IF(tblOnboarding[[#This Row],[Overdue]]="Yes",ReportDate-tblOnboarding[[#This Row],[Due Date]],"")</f>
        <v/>
      </c>
      <c r="L108" s="8" t="str">
        <f>IF(OR(tblOnboarding[[#This Row],[Status]]="Completed",tblOnboarding[[#This Row],[Due Date]]=""),"No",IF(AND(tblOnboarding[[#This Row],[Due Date]]&gt;=ReportDate,tblOnboarding[[#This Row],[Due Date]]&lt;=ReportDate+DueSoonDays),"Yes","No"))</f>
        <v>No</v>
      </c>
      <c r="M108" s="5" t="s">
        <v>170</v>
      </c>
    </row>
    <row r="109" spans="1:13" x14ac:dyDescent="0.3">
      <c r="A109" s="5" t="s">
        <v>301</v>
      </c>
      <c r="B109" s="5" t="s">
        <v>151</v>
      </c>
      <c r="C109" s="5" t="str">
        <f>IFERROR(INDEX(tblEmployees[Employee Name],MATCH(tblOnboarding[[#This Row],[Employee ID]],tblEmployees[Employee ID],0)),"ID not found")</f>
        <v>Varun Salunkhe</v>
      </c>
      <c r="D109" s="5" t="str">
        <f>IFERROR(INDEX(tblEmployees[Department],MATCH(tblOnboarding[[#This Row],[Employee ID]],tblEmployees[Employee ID],0)),"")</f>
        <v>Operations</v>
      </c>
      <c r="E109" s="5" t="s">
        <v>177</v>
      </c>
      <c r="F109" s="5" t="s">
        <v>168</v>
      </c>
      <c r="G109" s="6">
        <v>46310</v>
      </c>
      <c r="H109" s="6"/>
      <c r="I109" s="8" t="s">
        <v>187</v>
      </c>
      <c r="J109" s="8" t="str">
        <f>IF(OR(tblOnboarding[[#This Row],[Status]]="Completed",tblOnboarding[[#This Row],[Due Date]]=""),"No",IF(tblOnboarding[[#This Row],[Due Date]]&lt;ReportDate,"Yes","No"))</f>
        <v>Yes</v>
      </c>
      <c r="K109" s="9">
        <f>IF(tblOnboarding[[#This Row],[Overdue]]="Yes",ReportDate-tblOnboarding[[#This Row],[Due Date]],"")</f>
        <v>1</v>
      </c>
      <c r="L109" s="8" t="str">
        <f>IF(OR(tblOnboarding[[#This Row],[Status]]="Completed",tblOnboarding[[#This Row],[Due Date]]=""),"No",IF(AND(tblOnboarding[[#This Row],[Due Date]]&gt;=ReportDate,tblOnboarding[[#This Row],[Due Date]]&lt;=ReportDate+DueSoonDays),"Yes","No"))</f>
        <v>No</v>
      </c>
      <c r="M109" s="5" t="s">
        <v>302</v>
      </c>
    </row>
    <row r="110" spans="1:13" x14ac:dyDescent="0.3">
      <c r="A110" s="5" t="s">
        <v>303</v>
      </c>
      <c r="B110" s="5" t="s">
        <v>151</v>
      </c>
      <c r="C110" s="5" t="str">
        <f>IFERROR(INDEX(tblEmployees[Employee Name],MATCH(tblOnboarding[[#This Row],[Employee ID]],tblEmployees[Employee ID],0)),"ID not found")</f>
        <v>Varun Salunkhe</v>
      </c>
      <c r="D110" s="5" t="str">
        <f>IFERROR(INDEX(tblEmployees[Department],MATCH(tblOnboarding[[#This Row],[Employee ID]],tblEmployees[Employee ID],0)),"")</f>
        <v>Operations</v>
      </c>
      <c r="E110" s="5" t="s">
        <v>179</v>
      </c>
      <c r="F110" s="5" t="s">
        <v>168</v>
      </c>
      <c r="G110" s="6">
        <v>46309</v>
      </c>
      <c r="H110" s="6">
        <v>46309</v>
      </c>
      <c r="I110" s="8" t="s">
        <v>169</v>
      </c>
      <c r="J110" s="8" t="str">
        <f>IF(OR(tblOnboarding[[#This Row],[Status]]="Completed",tblOnboarding[[#This Row],[Due Date]]=""),"No",IF(tblOnboarding[[#This Row],[Due Date]]&lt;ReportDate,"Yes","No"))</f>
        <v>No</v>
      </c>
      <c r="K110" s="9" t="str">
        <f>IF(tblOnboarding[[#This Row],[Overdue]]="Yes",ReportDate-tblOnboarding[[#This Row],[Due Date]],"")</f>
        <v/>
      </c>
      <c r="L110" s="8" t="str">
        <f>IF(OR(tblOnboarding[[#This Row],[Status]]="Completed",tblOnboarding[[#This Row],[Due Date]]=""),"No",IF(AND(tblOnboarding[[#This Row],[Due Date]]&gt;=ReportDate,tblOnboarding[[#This Row],[Due Date]]&lt;=ReportDate+DueSoonDays),"Yes","No"))</f>
        <v>No</v>
      </c>
      <c r="M110" s="5"/>
    </row>
    <row r="111" spans="1:13" x14ac:dyDescent="0.3">
      <c r="A111" s="5" t="s">
        <v>304</v>
      </c>
      <c r="B111" s="5" t="s">
        <v>151</v>
      </c>
      <c r="C111" s="5" t="str">
        <f>IFERROR(INDEX(tblEmployees[Employee Name],MATCH(tblOnboarding[[#This Row],[Employee ID]],tblEmployees[Employee ID],0)),"ID not found")</f>
        <v>Varun Salunkhe</v>
      </c>
      <c r="D111" s="5" t="str">
        <f>IFERROR(INDEX(tblEmployees[Department],MATCH(tblOnboarding[[#This Row],[Employee ID]],tblEmployees[Employee ID],0)),"")</f>
        <v>Operations</v>
      </c>
      <c r="E111" s="5" t="s">
        <v>181</v>
      </c>
      <c r="F111" s="5" t="s">
        <v>182</v>
      </c>
      <c r="G111" s="6">
        <v>46314</v>
      </c>
      <c r="H111" s="6"/>
      <c r="I111" s="8" t="s">
        <v>187</v>
      </c>
      <c r="J111" s="8" t="str">
        <f>IF(OR(tblOnboarding[[#This Row],[Status]]="Completed",tblOnboarding[[#This Row],[Due Date]]=""),"No",IF(tblOnboarding[[#This Row],[Due Date]]&lt;ReportDate,"Yes","No"))</f>
        <v>No</v>
      </c>
      <c r="K111" s="9" t="str">
        <f>IF(tblOnboarding[[#This Row],[Overdue]]="Yes",ReportDate-tblOnboarding[[#This Row],[Due Date]],"")</f>
        <v/>
      </c>
      <c r="L111" s="8" t="str">
        <f>IF(OR(tblOnboarding[[#This Row],[Status]]="Completed",tblOnboarding[[#This Row],[Due Date]]=""),"No",IF(AND(tblOnboarding[[#This Row],[Due Date]]&gt;=ReportDate,tblOnboarding[[#This Row],[Due Date]]&lt;=ReportDate+DueSoonDays),"Yes","No"))</f>
        <v>Yes</v>
      </c>
      <c r="M111" s="5" t="s">
        <v>305</v>
      </c>
    </row>
    <row r="112" spans="1:13" x14ac:dyDescent="0.3">
      <c r="A112" s="5" t="s">
        <v>306</v>
      </c>
      <c r="B112" s="5" t="s">
        <v>151</v>
      </c>
      <c r="C112" s="5" t="str">
        <f>IFERROR(INDEX(tblEmployees[Employee Name],MATCH(tblOnboarding[[#This Row],[Employee ID]],tblEmployees[Employee ID],0)),"ID not found")</f>
        <v>Varun Salunkhe</v>
      </c>
      <c r="D112" s="5" t="str">
        <f>IFERROR(INDEX(tblEmployees[Department],MATCH(tblOnboarding[[#This Row],[Employee ID]],tblEmployees[Employee ID],0)),"")</f>
        <v>Operations</v>
      </c>
      <c r="E112" s="5" t="s">
        <v>184</v>
      </c>
      <c r="F112" s="5" t="s">
        <v>5</v>
      </c>
      <c r="G112" s="6">
        <v>46314</v>
      </c>
      <c r="H112" s="6"/>
      <c r="I112" s="8" t="s">
        <v>187</v>
      </c>
      <c r="J112" s="8" t="str">
        <f>IF(OR(tblOnboarding[[#This Row],[Status]]="Completed",tblOnboarding[[#This Row],[Due Date]]=""),"No",IF(tblOnboarding[[#This Row],[Due Date]]&lt;ReportDate,"Yes","No"))</f>
        <v>No</v>
      </c>
      <c r="K112" s="9" t="str">
        <f>IF(tblOnboarding[[#This Row],[Overdue]]="Yes",ReportDate-tblOnboarding[[#This Row],[Due Date]],"")</f>
        <v/>
      </c>
      <c r="L112" s="8" t="str">
        <f>IF(OR(tblOnboarding[[#This Row],[Status]]="Completed",tblOnboarding[[#This Row],[Due Date]]=""),"No",IF(AND(tblOnboarding[[#This Row],[Due Date]]&gt;=ReportDate,tblOnboarding[[#This Row],[Due Date]]&lt;=ReportDate+DueSoonDays),"Yes","No"))</f>
        <v>Yes</v>
      </c>
      <c r="M112" s="5" t="s">
        <v>307</v>
      </c>
    </row>
    <row r="113" spans="1:13" x14ac:dyDescent="0.3">
      <c r="A113" s="5" t="s">
        <v>308</v>
      </c>
      <c r="B113" s="5" t="s">
        <v>151</v>
      </c>
      <c r="C113" s="5" t="str">
        <f>IFERROR(INDEX(tblEmployees[Employee Name],MATCH(tblOnboarding[[#This Row],[Employee ID]],tblEmployees[Employee ID],0)),"ID not found")</f>
        <v>Varun Salunkhe</v>
      </c>
      <c r="D113" s="5" t="str">
        <f>IFERROR(INDEX(tblEmployees[Department],MATCH(tblOnboarding[[#This Row],[Employee ID]],tblEmployees[Employee ID],0)),"")</f>
        <v>Operations</v>
      </c>
      <c r="E113" s="5" t="s">
        <v>186</v>
      </c>
      <c r="F113" s="5" t="s">
        <v>168</v>
      </c>
      <c r="G113" s="6">
        <v>46321</v>
      </c>
      <c r="H113" s="6"/>
      <c r="I113" s="8" t="s">
        <v>205</v>
      </c>
      <c r="J113" s="8" t="str">
        <f>IF(OR(tblOnboarding[[#This Row],[Status]]="Completed",tblOnboarding[[#This Row],[Due Date]]=""),"No",IF(tblOnboarding[[#This Row],[Due Date]]&lt;ReportDate,"Yes","No"))</f>
        <v>No</v>
      </c>
      <c r="K113" s="9" t="str">
        <f>IF(tblOnboarding[[#This Row],[Overdue]]="Yes",ReportDate-tblOnboarding[[#This Row],[Due Date]],"")</f>
        <v/>
      </c>
      <c r="L113" s="8" t="str">
        <f>IF(OR(tblOnboarding[[#This Row],[Status]]="Completed",tblOnboarding[[#This Row],[Due Date]]=""),"No",IF(AND(tblOnboarding[[#This Row],[Due Date]]&gt;=ReportDate,tblOnboarding[[#This Row],[Due Date]]&lt;=ReportDate+DueSoonDays),"Yes","No"))</f>
        <v>No</v>
      </c>
      <c r="M113" s="5"/>
    </row>
    <row r="114" spans="1:13" x14ac:dyDescent="0.3">
      <c r="A114" s="5" t="s">
        <v>309</v>
      </c>
      <c r="B114" s="5" t="s">
        <v>15</v>
      </c>
      <c r="C114" s="5" t="str">
        <f>IFERROR(INDEX(tblEmployees[Employee Name],MATCH(tblOnboarding[[#This Row],[Employee ID]],tblEmployees[Employee ID],0)),"ID not found")</f>
        <v>Ajinkya Jadhav</v>
      </c>
      <c r="D114" s="5" t="str">
        <f>IFERROR(INDEX(tblEmployees[Department],MATCH(tblOnboarding[[#This Row],[Employee ID]],tblEmployees[Employee ID],0)),"")</f>
        <v>Marketing</v>
      </c>
      <c r="E114" s="5" t="s">
        <v>167</v>
      </c>
      <c r="F114" s="5" t="s">
        <v>168</v>
      </c>
      <c r="G114" s="6">
        <v>46308</v>
      </c>
      <c r="H114" s="6">
        <v>46309</v>
      </c>
      <c r="I114" s="8" t="s">
        <v>169</v>
      </c>
      <c r="J114" s="8" t="str">
        <f>IF(OR(tblOnboarding[[#This Row],[Status]]="Completed",tblOnboarding[[#This Row],[Due Date]]=""),"No",IF(tblOnboarding[[#This Row],[Due Date]]&lt;ReportDate,"Yes","No"))</f>
        <v>No</v>
      </c>
      <c r="K114" s="9" t="str">
        <f>IF(tblOnboarding[[#This Row],[Overdue]]="Yes",ReportDate-tblOnboarding[[#This Row],[Due Date]],"")</f>
        <v/>
      </c>
      <c r="L114" s="8" t="str">
        <f>IF(OR(tblOnboarding[[#This Row],[Status]]="Completed",tblOnboarding[[#This Row],[Due Date]]=""),"No",IF(AND(tblOnboarding[[#This Row],[Due Date]]&gt;=ReportDate,tblOnboarding[[#This Row],[Due Date]]&lt;=ReportDate+DueSoonDays),"Yes","No"))</f>
        <v>No</v>
      </c>
      <c r="M114" s="5"/>
    </row>
    <row r="115" spans="1:13" x14ac:dyDescent="0.3">
      <c r="A115" s="5" t="s">
        <v>310</v>
      </c>
      <c r="B115" s="5" t="s">
        <v>15</v>
      </c>
      <c r="C115" s="5" t="str">
        <f>IFERROR(INDEX(tblEmployees[Employee Name],MATCH(tblOnboarding[[#This Row],[Employee ID]],tblEmployees[Employee ID],0)),"ID not found")</f>
        <v>Ajinkya Jadhav</v>
      </c>
      <c r="D115" s="5" t="str">
        <f>IFERROR(INDEX(tblEmployees[Department],MATCH(tblOnboarding[[#This Row],[Employee ID]],tblEmployees[Employee ID],0)),"")</f>
        <v>Marketing</v>
      </c>
      <c r="E115" s="5" t="s">
        <v>172</v>
      </c>
      <c r="F115" s="5" t="s">
        <v>168</v>
      </c>
      <c r="G115" s="6">
        <v>46309</v>
      </c>
      <c r="H115" s="6">
        <v>46309</v>
      </c>
      <c r="I115" s="8" t="s">
        <v>169</v>
      </c>
      <c r="J115" s="8" t="str">
        <f>IF(OR(tblOnboarding[[#This Row],[Status]]="Completed",tblOnboarding[[#This Row],[Due Date]]=""),"No",IF(tblOnboarding[[#This Row],[Due Date]]&lt;ReportDate,"Yes","No"))</f>
        <v>No</v>
      </c>
      <c r="K115" s="9" t="str">
        <f>IF(tblOnboarding[[#This Row],[Overdue]]="Yes",ReportDate-tblOnboarding[[#This Row],[Due Date]],"")</f>
        <v/>
      </c>
      <c r="L115" s="8" t="str">
        <f>IF(OR(tblOnboarding[[#This Row],[Status]]="Completed",tblOnboarding[[#This Row],[Due Date]]=""),"No",IF(AND(tblOnboarding[[#This Row],[Due Date]]&gt;=ReportDate,tblOnboarding[[#This Row],[Due Date]]&lt;=ReportDate+DueSoonDays),"Yes","No"))</f>
        <v>No</v>
      </c>
      <c r="M115" s="5"/>
    </row>
    <row r="116" spans="1:13" x14ac:dyDescent="0.3">
      <c r="A116" s="5" t="s">
        <v>311</v>
      </c>
      <c r="B116" s="5" t="s">
        <v>15</v>
      </c>
      <c r="C116" s="5" t="str">
        <f>IFERROR(INDEX(tblEmployees[Employee Name],MATCH(tblOnboarding[[#This Row],[Employee ID]],tblEmployees[Employee ID],0)),"ID not found")</f>
        <v>Ajinkya Jadhav</v>
      </c>
      <c r="D116" s="5" t="str">
        <f>IFERROR(INDEX(tblEmployees[Department],MATCH(tblOnboarding[[#This Row],[Employee ID]],tblEmployees[Employee ID],0)),"")</f>
        <v>Marketing</v>
      </c>
      <c r="E116" s="5" t="s">
        <v>174</v>
      </c>
      <c r="F116" s="5" t="s">
        <v>175</v>
      </c>
      <c r="G116" s="6">
        <v>46308</v>
      </c>
      <c r="H116" s="6">
        <v>46307</v>
      </c>
      <c r="I116" s="8" t="s">
        <v>169</v>
      </c>
      <c r="J116" s="8" t="str">
        <f>IF(OR(tblOnboarding[[#This Row],[Status]]="Completed",tblOnboarding[[#This Row],[Due Date]]=""),"No",IF(tblOnboarding[[#This Row],[Due Date]]&lt;ReportDate,"Yes","No"))</f>
        <v>No</v>
      </c>
      <c r="K116" s="9" t="str">
        <f>IF(tblOnboarding[[#This Row],[Overdue]]="Yes",ReportDate-tblOnboarding[[#This Row],[Due Date]],"")</f>
        <v/>
      </c>
      <c r="L116" s="8" t="str">
        <f>IF(OR(tblOnboarding[[#This Row],[Status]]="Completed",tblOnboarding[[#This Row],[Due Date]]=""),"No",IF(AND(tblOnboarding[[#This Row],[Due Date]]&gt;=ReportDate,tblOnboarding[[#This Row],[Due Date]]&lt;=ReportDate+DueSoonDays),"Yes","No"))</f>
        <v>No</v>
      </c>
      <c r="M116" s="5"/>
    </row>
    <row r="117" spans="1:13" x14ac:dyDescent="0.3">
      <c r="A117" s="5" t="s">
        <v>312</v>
      </c>
      <c r="B117" s="5" t="s">
        <v>15</v>
      </c>
      <c r="C117" s="5" t="str">
        <f>IFERROR(INDEX(tblEmployees[Employee Name],MATCH(tblOnboarding[[#This Row],[Employee ID]],tblEmployees[Employee ID],0)),"ID not found")</f>
        <v>Ajinkya Jadhav</v>
      </c>
      <c r="D117" s="5" t="str">
        <f>IFERROR(INDEX(tblEmployees[Department],MATCH(tblOnboarding[[#This Row],[Employee ID]],tblEmployees[Employee ID],0)),"")</f>
        <v>Marketing</v>
      </c>
      <c r="E117" s="5" t="s">
        <v>177</v>
      </c>
      <c r="F117" s="5" t="s">
        <v>168</v>
      </c>
      <c r="G117" s="6">
        <v>46310</v>
      </c>
      <c r="H117" s="6"/>
      <c r="I117" s="8" t="s">
        <v>205</v>
      </c>
      <c r="J117" s="8" t="str">
        <f>IF(OR(tblOnboarding[[#This Row],[Status]]="Completed",tblOnboarding[[#This Row],[Due Date]]=""),"No",IF(tblOnboarding[[#This Row],[Due Date]]&lt;ReportDate,"Yes","No"))</f>
        <v>Yes</v>
      </c>
      <c r="K117" s="9">
        <f>IF(tblOnboarding[[#This Row],[Overdue]]="Yes",ReportDate-tblOnboarding[[#This Row],[Due Date]],"")</f>
        <v>1</v>
      </c>
      <c r="L117" s="8" t="str">
        <f>IF(OR(tblOnboarding[[#This Row],[Status]]="Completed",tblOnboarding[[#This Row],[Due Date]]=""),"No",IF(AND(tblOnboarding[[#This Row],[Due Date]]&gt;=ReportDate,tblOnboarding[[#This Row],[Due Date]]&lt;=ReportDate+DueSoonDays),"Yes","No"))</f>
        <v>No</v>
      </c>
      <c r="M117" s="5"/>
    </row>
    <row r="118" spans="1:13" x14ac:dyDescent="0.3">
      <c r="A118" s="5" t="s">
        <v>313</v>
      </c>
      <c r="B118" s="5" t="s">
        <v>15</v>
      </c>
      <c r="C118" s="5" t="str">
        <f>IFERROR(INDEX(tblEmployees[Employee Name],MATCH(tblOnboarding[[#This Row],[Employee ID]],tblEmployees[Employee ID],0)),"ID not found")</f>
        <v>Ajinkya Jadhav</v>
      </c>
      <c r="D118" s="5" t="str">
        <f>IFERROR(INDEX(tblEmployees[Department],MATCH(tblOnboarding[[#This Row],[Employee ID]],tblEmployees[Employee ID],0)),"")</f>
        <v>Marketing</v>
      </c>
      <c r="E118" s="5" t="s">
        <v>179</v>
      </c>
      <c r="F118" s="5" t="s">
        <v>168</v>
      </c>
      <c r="G118" s="6">
        <v>46309</v>
      </c>
      <c r="H118" s="6">
        <v>46311</v>
      </c>
      <c r="I118" s="8" t="s">
        <v>169</v>
      </c>
      <c r="J118" s="8" t="str">
        <f>IF(OR(tblOnboarding[[#This Row],[Status]]="Completed",tblOnboarding[[#This Row],[Due Date]]=""),"No",IF(tblOnboarding[[#This Row],[Due Date]]&lt;ReportDate,"Yes","No"))</f>
        <v>No</v>
      </c>
      <c r="K118" s="9" t="str">
        <f>IF(tblOnboarding[[#This Row],[Overdue]]="Yes",ReportDate-tblOnboarding[[#This Row],[Due Date]],"")</f>
        <v/>
      </c>
      <c r="L118" s="8" t="str">
        <f>IF(OR(tblOnboarding[[#This Row],[Status]]="Completed",tblOnboarding[[#This Row],[Due Date]]=""),"No",IF(AND(tblOnboarding[[#This Row],[Due Date]]&gt;=ReportDate,tblOnboarding[[#This Row],[Due Date]]&lt;=ReportDate+DueSoonDays),"Yes","No"))</f>
        <v>No</v>
      </c>
      <c r="M118" s="5"/>
    </row>
    <row r="119" spans="1:13" x14ac:dyDescent="0.3">
      <c r="A119" s="5" t="s">
        <v>314</v>
      </c>
      <c r="B119" s="5" t="s">
        <v>15</v>
      </c>
      <c r="C119" s="5" t="str">
        <f>IFERROR(INDEX(tblEmployees[Employee Name],MATCH(tblOnboarding[[#This Row],[Employee ID]],tblEmployees[Employee ID],0)),"ID not found")</f>
        <v>Ajinkya Jadhav</v>
      </c>
      <c r="D119" s="5" t="str">
        <f>IFERROR(INDEX(tblEmployees[Department],MATCH(tblOnboarding[[#This Row],[Employee ID]],tblEmployees[Employee ID],0)),"")</f>
        <v>Marketing</v>
      </c>
      <c r="E119" s="5" t="s">
        <v>181</v>
      </c>
      <c r="F119" s="5" t="s">
        <v>182</v>
      </c>
      <c r="G119" s="6">
        <v>46314</v>
      </c>
      <c r="H119" s="6"/>
      <c r="I119" s="8" t="s">
        <v>205</v>
      </c>
      <c r="J119" s="8" t="str">
        <f>IF(OR(tblOnboarding[[#This Row],[Status]]="Completed",tblOnboarding[[#This Row],[Due Date]]=""),"No",IF(tblOnboarding[[#This Row],[Due Date]]&lt;ReportDate,"Yes","No"))</f>
        <v>No</v>
      </c>
      <c r="K119" s="9" t="str">
        <f>IF(tblOnboarding[[#This Row],[Overdue]]="Yes",ReportDate-tblOnboarding[[#This Row],[Due Date]],"")</f>
        <v/>
      </c>
      <c r="L119" s="8" t="str">
        <f>IF(OR(tblOnboarding[[#This Row],[Status]]="Completed",tblOnboarding[[#This Row],[Due Date]]=""),"No",IF(AND(tblOnboarding[[#This Row],[Due Date]]&gt;=ReportDate,tblOnboarding[[#This Row],[Due Date]]&lt;=ReportDate+DueSoonDays),"Yes","No"))</f>
        <v>Yes</v>
      </c>
      <c r="M119" s="5"/>
    </row>
    <row r="120" spans="1:13" x14ac:dyDescent="0.3">
      <c r="A120" s="5" t="s">
        <v>315</v>
      </c>
      <c r="B120" s="5" t="s">
        <v>15</v>
      </c>
      <c r="C120" s="5" t="str">
        <f>IFERROR(INDEX(tblEmployees[Employee Name],MATCH(tblOnboarding[[#This Row],[Employee ID]],tblEmployees[Employee ID],0)),"ID not found")</f>
        <v>Ajinkya Jadhav</v>
      </c>
      <c r="D120" s="5" t="str">
        <f>IFERROR(INDEX(tblEmployees[Department],MATCH(tblOnboarding[[#This Row],[Employee ID]],tblEmployees[Employee ID],0)),"")</f>
        <v>Marketing</v>
      </c>
      <c r="E120" s="5" t="s">
        <v>184</v>
      </c>
      <c r="F120" s="5" t="s">
        <v>5</v>
      </c>
      <c r="G120" s="6">
        <v>46314</v>
      </c>
      <c r="H120" s="6"/>
      <c r="I120" s="8" t="s">
        <v>205</v>
      </c>
      <c r="J120" s="8" t="str">
        <f>IF(OR(tblOnboarding[[#This Row],[Status]]="Completed",tblOnboarding[[#This Row],[Due Date]]=""),"No",IF(tblOnboarding[[#This Row],[Due Date]]&lt;ReportDate,"Yes","No"))</f>
        <v>No</v>
      </c>
      <c r="K120" s="9" t="str">
        <f>IF(tblOnboarding[[#This Row],[Overdue]]="Yes",ReportDate-tblOnboarding[[#This Row],[Due Date]],"")</f>
        <v/>
      </c>
      <c r="L120" s="8" t="str">
        <f>IF(OR(tblOnboarding[[#This Row],[Status]]="Completed",tblOnboarding[[#This Row],[Due Date]]=""),"No",IF(AND(tblOnboarding[[#This Row],[Due Date]]&gt;=ReportDate,tblOnboarding[[#This Row],[Due Date]]&lt;=ReportDate+DueSoonDays),"Yes","No"))</f>
        <v>Yes</v>
      </c>
      <c r="M120" s="5"/>
    </row>
    <row r="121" spans="1:13" x14ac:dyDescent="0.3">
      <c r="A121" s="5" t="s">
        <v>316</v>
      </c>
      <c r="B121" s="5" t="s">
        <v>15</v>
      </c>
      <c r="C121" s="5" t="str">
        <f>IFERROR(INDEX(tblEmployees[Employee Name],MATCH(tblOnboarding[[#This Row],[Employee ID]],tblEmployees[Employee ID],0)),"ID not found")</f>
        <v>Ajinkya Jadhav</v>
      </c>
      <c r="D121" s="5" t="str">
        <f>IFERROR(INDEX(tblEmployees[Department],MATCH(tblOnboarding[[#This Row],[Employee ID]],tblEmployees[Employee ID],0)),"")</f>
        <v>Marketing</v>
      </c>
      <c r="E121" s="5" t="s">
        <v>186</v>
      </c>
      <c r="F121" s="5" t="s">
        <v>168</v>
      </c>
      <c r="G121" s="6">
        <v>46321</v>
      </c>
      <c r="H121" s="6"/>
      <c r="I121" s="8" t="s">
        <v>205</v>
      </c>
      <c r="J121" s="8" t="str">
        <f>IF(OR(tblOnboarding[[#This Row],[Status]]="Completed",tblOnboarding[[#This Row],[Due Date]]=""),"No",IF(tblOnboarding[[#This Row],[Due Date]]&lt;ReportDate,"Yes","No"))</f>
        <v>No</v>
      </c>
      <c r="K121" s="9" t="str">
        <f>IF(tblOnboarding[[#This Row],[Overdue]]="Yes",ReportDate-tblOnboarding[[#This Row],[Due Date]],"")</f>
        <v/>
      </c>
      <c r="L121" s="8" t="str">
        <f>IF(OR(tblOnboarding[[#This Row],[Status]]="Completed",tblOnboarding[[#This Row],[Due Date]]=""),"No",IF(AND(tblOnboarding[[#This Row],[Due Date]]&gt;=ReportDate,tblOnboarding[[#This Row],[Due Date]]&lt;=ReportDate+DueSoonDays),"Yes","No"))</f>
        <v>No</v>
      </c>
      <c r="M121" s="5"/>
    </row>
    <row r="122" spans="1:13" x14ac:dyDescent="0.3">
      <c r="A122" s="5" t="s">
        <v>317</v>
      </c>
      <c r="B122" s="5" t="s">
        <v>96</v>
      </c>
      <c r="C122" s="5" t="str">
        <f>IFERROR(INDEX(tblEmployees[Employee Name],MATCH(tblOnboarding[[#This Row],[Employee ID]],tblEmployees[Employee ID],0)),"ID not found")</f>
        <v>Nikhil More</v>
      </c>
      <c r="D122" s="5" t="str">
        <f>IFERROR(INDEX(tblEmployees[Department],MATCH(tblOnboarding[[#This Row],[Employee ID]],tblEmployees[Employee ID],0)),"")</f>
        <v>Marketing</v>
      </c>
      <c r="E122" s="5" t="s">
        <v>167</v>
      </c>
      <c r="F122" s="5" t="s">
        <v>168</v>
      </c>
      <c r="G122" s="6">
        <v>46309</v>
      </c>
      <c r="H122" s="6"/>
      <c r="I122" s="8" t="s">
        <v>205</v>
      </c>
      <c r="J122" s="8" t="str">
        <f>IF(OR(tblOnboarding[[#This Row],[Status]]="Completed",tblOnboarding[[#This Row],[Due Date]]=""),"No",IF(tblOnboarding[[#This Row],[Due Date]]&lt;ReportDate,"Yes","No"))</f>
        <v>Yes</v>
      </c>
      <c r="K122" s="9">
        <f>IF(tblOnboarding[[#This Row],[Overdue]]="Yes",ReportDate-tblOnboarding[[#This Row],[Due Date]],"")</f>
        <v>2</v>
      </c>
      <c r="L122" s="8" t="str">
        <f>IF(OR(tblOnboarding[[#This Row],[Status]]="Completed",tblOnboarding[[#This Row],[Due Date]]=""),"No",IF(AND(tblOnboarding[[#This Row],[Due Date]]&gt;=ReportDate,tblOnboarding[[#This Row],[Due Date]]&lt;=ReportDate+DueSoonDays),"Yes","No"))</f>
        <v>No</v>
      </c>
      <c r="M122" s="5" t="s">
        <v>318</v>
      </c>
    </row>
    <row r="123" spans="1:13" x14ac:dyDescent="0.3">
      <c r="A123" s="5" t="s">
        <v>319</v>
      </c>
      <c r="B123" s="5" t="s">
        <v>96</v>
      </c>
      <c r="C123" s="5" t="str">
        <f>IFERROR(INDEX(tblEmployees[Employee Name],MATCH(tblOnboarding[[#This Row],[Employee ID]],tblEmployees[Employee ID],0)),"ID not found")</f>
        <v>Nikhil More</v>
      </c>
      <c r="D123" s="5" t="str">
        <f>IFERROR(INDEX(tblEmployees[Department],MATCH(tblOnboarding[[#This Row],[Employee ID]],tblEmployees[Employee ID],0)),"")</f>
        <v>Marketing</v>
      </c>
      <c r="E123" s="5" t="s">
        <v>172</v>
      </c>
      <c r="F123" s="5" t="s">
        <v>168</v>
      </c>
      <c r="G123" s="6">
        <v>46310</v>
      </c>
      <c r="H123" s="6"/>
      <c r="I123" s="8" t="s">
        <v>205</v>
      </c>
      <c r="J123" s="8" t="str">
        <f>IF(OR(tblOnboarding[[#This Row],[Status]]="Completed",tblOnboarding[[#This Row],[Due Date]]=""),"No",IF(tblOnboarding[[#This Row],[Due Date]]&lt;ReportDate,"Yes","No"))</f>
        <v>Yes</v>
      </c>
      <c r="K123" s="9">
        <f>IF(tblOnboarding[[#This Row],[Overdue]]="Yes",ReportDate-tblOnboarding[[#This Row],[Due Date]],"")</f>
        <v>1</v>
      </c>
      <c r="L123" s="8" t="str">
        <f>IF(OR(tblOnboarding[[#This Row],[Status]]="Completed",tblOnboarding[[#This Row],[Due Date]]=""),"No",IF(AND(tblOnboarding[[#This Row],[Due Date]]&gt;=ReportDate,tblOnboarding[[#This Row],[Due Date]]&lt;=ReportDate+DueSoonDays),"Yes","No"))</f>
        <v>No</v>
      </c>
      <c r="M123" s="5"/>
    </row>
    <row r="124" spans="1:13" x14ac:dyDescent="0.3">
      <c r="A124" s="5" t="s">
        <v>320</v>
      </c>
      <c r="B124" s="5" t="s">
        <v>96</v>
      </c>
      <c r="C124" s="5" t="str">
        <f>IFERROR(INDEX(tblEmployees[Employee Name],MATCH(tblOnboarding[[#This Row],[Employee ID]],tblEmployees[Employee ID],0)),"ID not found")</f>
        <v>Nikhil More</v>
      </c>
      <c r="D124" s="5" t="str">
        <f>IFERROR(INDEX(tblEmployees[Department],MATCH(tblOnboarding[[#This Row],[Employee ID]],tblEmployees[Employee ID],0)),"")</f>
        <v>Marketing</v>
      </c>
      <c r="E124" s="5" t="s">
        <v>174</v>
      </c>
      <c r="F124" s="5" t="s">
        <v>175</v>
      </c>
      <c r="G124" s="6">
        <v>46309</v>
      </c>
      <c r="H124" s="6"/>
      <c r="I124" s="8" t="s">
        <v>205</v>
      </c>
      <c r="J124" s="8" t="str">
        <f>IF(OR(tblOnboarding[[#This Row],[Status]]="Completed",tblOnboarding[[#This Row],[Due Date]]=""),"No",IF(tblOnboarding[[#This Row],[Due Date]]&lt;ReportDate,"Yes","No"))</f>
        <v>Yes</v>
      </c>
      <c r="K124" s="9">
        <f>IF(tblOnboarding[[#This Row],[Overdue]]="Yes",ReportDate-tblOnboarding[[#This Row],[Due Date]],"")</f>
        <v>2</v>
      </c>
      <c r="L124" s="8" t="str">
        <f>IF(OR(tblOnboarding[[#This Row],[Status]]="Completed",tblOnboarding[[#This Row],[Due Date]]=""),"No",IF(AND(tblOnboarding[[#This Row],[Due Date]]&gt;=ReportDate,tblOnboarding[[#This Row],[Due Date]]&lt;=ReportDate+DueSoonDays),"Yes","No"))</f>
        <v>No</v>
      </c>
      <c r="M124" s="5" t="s">
        <v>321</v>
      </c>
    </row>
    <row r="125" spans="1:13" x14ac:dyDescent="0.3">
      <c r="A125" s="5" t="s">
        <v>322</v>
      </c>
      <c r="B125" s="5" t="s">
        <v>96</v>
      </c>
      <c r="C125" s="5" t="str">
        <f>IFERROR(INDEX(tblEmployees[Employee Name],MATCH(tblOnboarding[[#This Row],[Employee ID]],tblEmployees[Employee ID],0)),"ID not found")</f>
        <v>Nikhil More</v>
      </c>
      <c r="D125" s="5" t="str">
        <f>IFERROR(INDEX(tblEmployees[Department],MATCH(tblOnboarding[[#This Row],[Employee ID]],tblEmployees[Employee ID],0)),"")</f>
        <v>Marketing</v>
      </c>
      <c r="E125" s="5" t="s">
        <v>177</v>
      </c>
      <c r="F125" s="5" t="s">
        <v>168</v>
      </c>
      <c r="G125" s="6">
        <v>46311</v>
      </c>
      <c r="H125" s="6"/>
      <c r="I125" s="8" t="s">
        <v>187</v>
      </c>
      <c r="J125" s="8" t="str">
        <f>IF(OR(tblOnboarding[[#This Row],[Status]]="Completed",tblOnboarding[[#This Row],[Due Date]]=""),"No",IF(tblOnboarding[[#This Row],[Due Date]]&lt;ReportDate,"Yes","No"))</f>
        <v>No</v>
      </c>
      <c r="K125" s="9" t="str">
        <f>IF(tblOnboarding[[#This Row],[Overdue]]="Yes",ReportDate-tblOnboarding[[#This Row],[Due Date]],"")</f>
        <v/>
      </c>
      <c r="L125" s="8" t="str">
        <f>IF(OR(tblOnboarding[[#This Row],[Status]]="Completed",tblOnboarding[[#This Row],[Due Date]]=""),"No",IF(AND(tblOnboarding[[#This Row],[Due Date]]&gt;=ReportDate,tblOnboarding[[#This Row],[Due Date]]&lt;=ReportDate+DueSoonDays),"Yes","No"))</f>
        <v>Yes</v>
      </c>
      <c r="M125" s="5" t="s">
        <v>302</v>
      </c>
    </row>
    <row r="126" spans="1:13" x14ac:dyDescent="0.3">
      <c r="A126" s="5" t="s">
        <v>323</v>
      </c>
      <c r="B126" s="5" t="s">
        <v>96</v>
      </c>
      <c r="C126" s="5" t="str">
        <f>IFERROR(INDEX(tblEmployees[Employee Name],MATCH(tblOnboarding[[#This Row],[Employee ID]],tblEmployees[Employee ID],0)),"ID not found")</f>
        <v>Nikhil More</v>
      </c>
      <c r="D126" s="5" t="str">
        <f>IFERROR(INDEX(tblEmployees[Department],MATCH(tblOnboarding[[#This Row],[Employee ID]],tblEmployees[Employee ID],0)),"")</f>
        <v>Marketing</v>
      </c>
      <c r="E126" s="5" t="s">
        <v>179</v>
      </c>
      <c r="F126" s="5" t="s">
        <v>168</v>
      </c>
      <c r="G126" s="6">
        <v>46310</v>
      </c>
      <c r="H126" s="6">
        <v>46311</v>
      </c>
      <c r="I126" s="8" t="s">
        <v>169</v>
      </c>
      <c r="J126" s="8" t="str">
        <f>IF(OR(tblOnboarding[[#This Row],[Status]]="Completed",tblOnboarding[[#This Row],[Due Date]]=""),"No",IF(tblOnboarding[[#This Row],[Due Date]]&lt;ReportDate,"Yes","No"))</f>
        <v>No</v>
      </c>
      <c r="K126" s="9" t="str">
        <f>IF(tblOnboarding[[#This Row],[Overdue]]="Yes",ReportDate-tblOnboarding[[#This Row],[Due Date]],"")</f>
        <v/>
      </c>
      <c r="L126" s="8" t="str">
        <f>IF(OR(tblOnboarding[[#This Row],[Status]]="Completed",tblOnboarding[[#This Row],[Due Date]]=""),"No",IF(AND(tblOnboarding[[#This Row],[Due Date]]&gt;=ReportDate,tblOnboarding[[#This Row],[Due Date]]&lt;=ReportDate+DueSoonDays),"Yes","No"))</f>
        <v>No</v>
      </c>
      <c r="M126" s="5"/>
    </row>
    <row r="127" spans="1:13" x14ac:dyDescent="0.3">
      <c r="A127" s="5" t="s">
        <v>324</v>
      </c>
      <c r="B127" s="5" t="s">
        <v>96</v>
      </c>
      <c r="C127" s="5" t="str">
        <f>IFERROR(INDEX(tblEmployees[Employee Name],MATCH(tblOnboarding[[#This Row],[Employee ID]],tblEmployees[Employee ID],0)),"ID not found")</f>
        <v>Nikhil More</v>
      </c>
      <c r="D127" s="5" t="str">
        <f>IFERROR(INDEX(tblEmployees[Department],MATCH(tblOnboarding[[#This Row],[Employee ID]],tblEmployees[Employee ID],0)),"")</f>
        <v>Marketing</v>
      </c>
      <c r="E127" s="5" t="s">
        <v>181</v>
      </c>
      <c r="F127" s="5" t="s">
        <v>182</v>
      </c>
      <c r="G127" s="6">
        <v>46314</v>
      </c>
      <c r="H127" s="6"/>
      <c r="I127" s="8" t="s">
        <v>205</v>
      </c>
      <c r="J127" s="8" t="str">
        <f>IF(OR(tblOnboarding[[#This Row],[Status]]="Completed",tblOnboarding[[#This Row],[Due Date]]=""),"No",IF(tblOnboarding[[#This Row],[Due Date]]&lt;ReportDate,"Yes","No"))</f>
        <v>No</v>
      </c>
      <c r="K127" s="9" t="str">
        <f>IF(tblOnboarding[[#This Row],[Overdue]]="Yes",ReportDate-tblOnboarding[[#This Row],[Due Date]],"")</f>
        <v/>
      </c>
      <c r="L127" s="8" t="str">
        <f>IF(OR(tblOnboarding[[#This Row],[Status]]="Completed",tblOnboarding[[#This Row],[Due Date]]=""),"No",IF(AND(tblOnboarding[[#This Row],[Due Date]]&gt;=ReportDate,tblOnboarding[[#This Row],[Due Date]]&lt;=ReportDate+DueSoonDays),"Yes","No"))</f>
        <v>Yes</v>
      </c>
      <c r="M127" s="5"/>
    </row>
    <row r="128" spans="1:13" x14ac:dyDescent="0.3">
      <c r="A128" s="5" t="s">
        <v>325</v>
      </c>
      <c r="B128" s="5" t="s">
        <v>96</v>
      </c>
      <c r="C128" s="5" t="str">
        <f>IFERROR(INDEX(tblEmployees[Employee Name],MATCH(tblOnboarding[[#This Row],[Employee ID]],tblEmployees[Employee ID],0)),"ID not found")</f>
        <v>Nikhil More</v>
      </c>
      <c r="D128" s="5" t="str">
        <f>IFERROR(INDEX(tblEmployees[Department],MATCH(tblOnboarding[[#This Row],[Employee ID]],tblEmployees[Employee ID],0)),"")</f>
        <v>Marketing</v>
      </c>
      <c r="E128" s="5" t="s">
        <v>184</v>
      </c>
      <c r="F128" s="5" t="s">
        <v>5</v>
      </c>
      <c r="G128" s="6">
        <v>46315</v>
      </c>
      <c r="H128" s="6"/>
      <c r="I128" s="8" t="s">
        <v>187</v>
      </c>
      <c r="J128" s="8" t="str">
        <f>IF(OR(tblOnboarding[[#This Row],[Status]]="Completed",tblOnboarding[[#This Row],[Due Date]]=""),"No",IF(tblOnboarding[[#This Row],[Due Date]]&lt;ReportDate,"Yes","No"))</f>
        <v>No</v>
      </c>
      <c r="K128" s="9" t="str">
        <f>IF(tblOnboarding[[#This Row],[Overdue]]="Yes",ReportDate-tblOnboarding[[#This Row],[Due Date]],"")</f>
        <v/>
      </c>
      <c r="L128" s="8" t="str">
        <f>IF(OR(tblOnboarding[[#This Row],[Status]]="Completed",tblOnboarding[[#This Row],[Due Date]]=""),"No",IF(AND(tblOnboarding[[#This Row],[Due Date]]&gt;=ReportDate,tblOnboarding[[#This Row],[Due Date]]&lt;=ReportDate+DueSoonDays),"Yes","No"))</f>
        <v>No</v>
      </c>
      <c r="M128" s="5" t="s">
        <v>244</v>
      </c>
    </row>
    <row r="129" spans="1:13" x14ac:dyDescent="0.3">
      <c r="A129" s="5" t="s">
        <v>326</v>
      </c>
      <c r="B129" s="5" t="s">
        <v>96</v>
      </c>
      <c r="C129" s="5" t="str">
        <f>IFERROR(INDEX(tblEmployees[Employee Name],MATCH(tblOnboarding[[#This Row],[Employee ID]],tblEmployees[Employee ID],0)),"ID not found")</f>
        <v>Nikhil More</v>
      </c>
      <c r="D129" s="5" t="str">
        <f>IFERROR(INDEX(tblEmployees[Department],MATCH(tblOnboarding[[#This Row],[Employee ID]],tblEmployees[Employee ID],0)),"")</f>
        <v>Marketing</v>
      </c>
      <c r="E129" s="5" t="s">
        <v>186</v>
      </c>
      <c r="F129" s="5" t="s">
        <v>168</v>
      </c>
      <c r="G129" s="6">
        <v>46322</v>
      </c>
      <c r="H129" s="6"/>
      <c r="I129" s="8" t="s">
        <v>187</v>
      </c>
      <c r="J129" s="8" t="str">
        <f>IF(OR(tblOnboarding[[#This Row],[Status]]="Completed",tblOnboarding[[#This Row],[Due Date]]=""),"No",IF(tblOnboarding[[#This Row],[Due Date]]&lt;ReportDate,"Yes","No"))</f>
        <v>No</v>
      </c>
      <c r="K129" s="9" t="str">
        <f>IF(tblOnboarding[[#This Row],[Overdue]]="Yes",ReportDate-tblOnboarding[[#This Row],[Due Date]],"")</f>
        <v/>
      </c>
      <c r="L129" s="8" t="str">
        <f>IF(OR(tblOnboarding[[#This Row],[Status]]="Completed",tblOnboarding[[#This Row],[Due Date]]=""),"No",IF(AND(tblOnboarding[[#This Row],[Due Date]]&gt;=ReportDate,tblOnboarding[[#This Row],[Due Date]]&lt;=ReportDate+DueSoonDays),"Yes","No"))</f>
        <v>No</v>
      </c>
      <c r="M129" s="5"/>
    </row>
    <row r="130" spans="1:13" x14ac:dyDescent="0.3">
      <c r="A130" s="5" t="s">
        <v>327</v>
      </c>
      <c r="B130" s="5" t="s">
        <v>51</v>
      </c>
      <c r="C130" s="5" t="str">
        <f>IFERROR(INDEX(tblEmployees[Employee Name],MATCH(tblOnboarding[[#This Row],[Employee ID]],tblEmployees[Employee ID],0)),"ID not found")</f>
        <v>Dipti Mane</v>
      </c>
      <c r="D130" s="5" t="str">
        <f>IFERROR(INDEX(tblEmployees[Department],MATCH(tblOnboarding[[#This Row],[Employee ID]],tblEmployees[Employee ID],0)),"")</f>
        <v>Customer Support</v>
      </c>
      <c r="E130" s="5" t="s">
        <v>167</v>
      </c>
      <c r="F130" s="5" t="s">
        <v>168</v>
      </c>
      <c r="G130" s="6">
        <v>46310</v>
      </c>
      <c r="H130" s="6">
        <v>46310</v>
      </c>
      <c r="I130" s="8" t="s">
        <v>169</v>
      </c>
      <c r="J130" s="8" t="str">
        <f>IF(OR(tblOnboarding[[#This Row],[Status]]="Completed",tblOnboarding[[#This Row],[Due Date]]=""),"No",IF(tblOnboarding[[#This Row],[Due Date]]&lt;ReportDate,"Yes","No"))</f>
        <v>No</v>
      </c>
      <c r="K130" s="9" t="str">
        <f>IF(tblOnboarding[[#This Row],[Overdue]]="Yes",ReportDate-tblOnboarding[[#This Row],[Due Date]],"")</f>
        <v/>
      </c>
      <c r="L130" s="8" t="str">
        <f>IF(OR(tblOnboarding[[#This Row],[Status]]="Completed",tblOnboarding[[#This Row],[Due Date]]=""),"No",IF(AND(tblOnboarding[[#This Row],[Due Date]]&gt;=ReportDate,tblOnboarding[[#This Row],[Due Date]]&lt;=ReportDate+DueSoonDays),"Yes","No"))</f>
        <v>No</v>
      </c>
      <c r="M130" s="5"/>
    </row>
    <row r="131" spans="1:13" x14ac:dyDescent="0.3">
      <c r="A131" s="5" t="s">
        <v>328</v>
      </c>
      <c r="B131" s="5" t="s">
        <v>51</v>
      </c>
      <c r="C131" s="5" t="str">
        <f>IFERROR(INDEX(tblEmployees[Employee Name],MATCH(tblOnboarding[[#This Row],[Employee ID]],tblEmployees[Employee ID],0)),"ID not found")</f>
        <v>Dipti Mane</v>
      </c>
      <c r="D131" s="5" t="str">
        <f>IFERROR(INDEX(tblEmployees[Department],MATCH(tblOnboarding[[#This Row],[Employee ID]],tblEmployees[Employee ID],0)),"")</f>
        <v>Customer Support</v>
      </c>
      <c r="E131" s="5" t="s">
        <v>172</v>
      </c>
      <c r="F131" s="5" t="s">
        <v>168</v>
      </c>
      <c r="G131" s="6">
        <v>46311</v>
      </c>
      <c r="H131" s="6"/>
      <c r="I131" s="8" t="s">
        <v>187</v>
      </c>
      <c r="J131" s="8" t="str">
        <f>IF(OR(tblOnboarding[[#This Row],[Status]]="Completed",tblOnboarding[[#This Row],[Due Date]]=""),"No",IF(tblOnboarding[[#This Row],[Due Date]]&lt;ReportDate,"Yes","No"))</f>
        <v>No</v>
      </c>
      <c r="K131" s="9" t="str">
        <f>IF(tblOnboarding[[#This Row],[Overdue]]="Yes",ReportDate-tblOnboarding[[#This Row],[Due Date]],"")</f>
        <v/>
      </c>
      <c r="L131" s="8" t="str">
        <f>IF(OR(tblOnboarding[[#This Row],[Status]]="Completed",tblOnboarding[[#This Row],[Due Date]]=""),"No",IF(AND(tblOnboarding[[#This Row],[Due Date]]&gt;=ReportDate,tblOnboarding[[#This Row],[Due Date]]&lt;=ReportDate+DueSoonDays),"Yes","No"))</f>
        <v>Yes</v>
      </c>
      <c r="M131" s="5"/>
    </row>
    <row r="132" spans="1:13" x14ac:dyDescent="0.3">
      <c r="A132" s="5" t="s">
        <v>329</v>
      </c>
      <c r="B132" s="5" t="s">
        <v>51</v>
      </c>
      <c r="C132" s="5" t="str">
        <f>IFERROR(INDEX(tblEmployees[Employee Name],MATCH(tblOnboarding[[#This Row],[Employee ID]],tblEmployees[Employee ID],0)),"ID not found")</f>
        <v>Dipti Mane</v>
      </c>
      <c r="D132" s="5" t="str">
        <f>IFERROR(INDEX(tblEmployees[Department],MATCH(tblOnboarding[[#This Row],[Employee ID]],tblEmployees[Employee ID],0)),"")</f>
        <v>Customer Support</v>
      </c>
      <c r="E132" s="5" t="s">
        <v>174</v>
      </c>
      <c r="F132" s="5" t="s">
        <v>175</v>
      </c>
      <c r="G132" s="6">
        <v>46310</v>
      </c>
      <c r="H132" s="6"/>
      <c r="I132" s="8" t="s">
        <v>205</v>
      </c>
      <c r="J132" s="8" t="str">
        <f>IF(OR(tblOnboarding[[#This Row],[Status]]="Completed",tblOnboarding[[#This Row],[Due Date]]=""),"No",IF(tblOnboarding[[#This Row],[Due Date]]&lt;ReportDate,"Yes","No"))</f>
        <v>Yes</v>
      </c>
      <c r="K132" s="9">
        <f>IF(tblOnboarding[[#This Row],[Overdue]]="Yes",ReportDate-tblOnboarding[[#This Row],[Due Date]],"")</f>
        <v>1</v>
      </c>
      <c r="L132" s="8" t="str">
        <f>IF(OR(tblOnboarding[[#This Row],[Status]]="Completed",tblOnboarding[[#This Row],[Due Date]]=""),"No",IF(AND(tblOnboarding[[#This Row],[Due Date]]&gt;=ReportDate,tblOnboarding[[#This Row],[Due Date]]&lt;=ReportDate+DueSoonDays),"Yes","No"))</f>
        <v>No</v>
      </c>
      <c r="M132" s="5"/>
    </row>
    <row r="133" spans="1:13" x14ac:dyDescent="0.3">
      <c r="A133" s="5" t="s">
        <v>330</v>
      </c>
      <c r="B133" s="5" t="s">
        <v>51</v>
      </c>
      <c r="C133" s="5" t="str">
        <f>IFERROR(INDEX(tblEmployees[Employee Name],MATCH(tblOnboarding[[#This Row],[Employee ID]],tblEmployees[Employee ID],0)),"ID not found")</f>
        <v>Dipti Mane</v>
      </c>
      <c r="D133" s="5" t="str">
        <f>IFERROR(INDEX(tblEmployees[Department],MATCH(tblOnboarding[[#This Row],[Employee ID]],tblEmployees[Employee ID],0)),"")</f>
        <v>Customer Support</v>
      </c>
      <c r="E133" s="5" t="s">
        <v>177</v>
      </c>
      <c r="F133" s="5" t="s">
        <v>168</v>
      </c>
      <c r="G133" s="6">
        <v>46314</v>
      </c>
      <c r="H133" s="6"/>
      <c r="I133" s="8" t="s">
        <v>205</v>
      </c>
      <c r="J133" s="8" t="str">
        <f>IF(OR(tblOnboarding[[#This Row],[Status]]="Completed",tblOnboarding[[#This Row],[Due Date]]=""),"No",IF(tblOnboarding[[#This Row],[Due Date]]&lt;ReportDate,"Yes","No"))</f>
        <v>No</v>
      </c>
      <c r="K133" s="9" t="str">
        <f>IF(tblOnboarding[[#This Row],[Overdue]]="Yes",ReportDate-tblOnboarding[[#This Row],[Due Date]],"")</f>
        <v/>
      </c>
      <c r="L133" s="8" t="str">
        <f>IF(OR(tblOnboarding[[#This Row],[Status]]="Completed",tblOnboarding[[#This Row],[Due Date]]=""),"No",IF(AND(tblOnboarding[[#This Row],[Due Date]]&gt;=ReportDate,tblOnboarding[[#This Row],[Due Date]]&lt;=ReportDate+DueSoonDays),"Yes","No"))</f>
        <v>Yes</v>
      </c>
      <c r="M133" s="5"/>
    </row>
    <row r="134" spans="1:13" x14ac:dyDescent="0.3">
      <c r="A134" s="5" t="s">
        <v>331</v>
      </c>
      <c r="B134" s="5" t="s">
        <v>51</v>
      </c>
      <c r="C134" s="5" t="str">
        <f>IFERROR(INDEX(tblEmployees[Employee Name],MATCH(tblOnboarding[[#This Row],[Employee ID]],tblEmployees[Employee ID],0)),"ID not found")</f>
        <v>Dipti Mane</v>
      </c>
      <c r="D134" s="5" t="str">
        <f>IFERROR(INDEX(tblEmployees[Department],MATCH(tblOnboarding[[#This Row],[Employee ID]],tblEmployees[Employee ID],0)),"")</f>
        <v>Customer Support</v>
      </c>
      <c r="E134" s="5" t="s">
        <v>179</v>
      </c>
      <c r="F134" s="5" t="s">
        <v>168</v>
      </c>
      <c r="G134" s="6">
        <v>46311</v>
      </c>
      <c r="H134" s="6"/>
      <c r="I134" s="8" t="s">
        <v>205</v>
      </c>
      <c r="J134" s="8" t="str">
        <f>IF(OR(tblOnboarding[[#This Row],[Status]]="Completed",tblOnboarding[[#This Row],[Due Date]]=""),"No",IF(tblOnboarding[[#This Row],[Due Date]]&lt;ReportDate,"Yes","No"))</f>
        <v>No</v>
      </c>
      <c r="K134" s="9" t="str">
        <f>IF(tblOnboarding[[#This Row],[Overdue]]="Yes",ReportDate-tblOnboarding[[#This Row],[Due Date]],"")</f>
        <v/>
      </c>
      <c r="L134" s="8" t="str">
        <f>IF(OR(tblOnboarding[[#This Row],[Status]]="Completed",tblOnboarding[[#This Row],[Due Date]]=""),"No",IF(AND(tblOnboarding[[#This Row],[Due Date]]&gt;=ReportDate,tblOnboarding[[#This Row],[Due Date]]&lt;=ReportDate+DueSoonDays),"Yes","No"))</f>
        <v>Yes</v>
      </c>
      <c r="M134" s="5"/>
    </row>
    <row r="135" spans="1:13" x14ac:dyDescent="0.3">
      <c r="A135" s="5" t="s">
        <v>332</v>
      </c>
      <c r="B135" s="5" t="s">
        <v>51</v>
      </c>
      <c r="C135" s="5" t="str">
        <f>IFERROR(INDEX(tblEmployees[Employee Name],MATCH(tblOnboarding[[#This Row],[Employee ID]],tblEmployees[Employee ID],0)),"ID not found")</f>
        <v>Dipti Mane</v>
      </c>
      <c r="D135" s="5" t="str">
        <f>IFERROR(INDEX(tblEmployees[Department],MATCH(tblOnboarding[[#This Row],[Employee ID]],tblEmployees[Employee ID],0)),"")</f>
        <v>Customer Support</v>
      </c>
      <c r="E135" s="5" t="s">
        <v>181</v>
      </c>
      <c r="F135" s="5" t="s">
        <v>182</v>
      </c>
      <c r="G135" s="6">
        <v>46314</v>
      </c>
      <c r="H135" s="6"/>
      <c r="I135" s="8" t="s">
        <v>187</v>
      </c>
      <c r="J135" s="8" t="str">
        <f>IF(OR(tblOnboarding[[#This Row],[Status]]="Completed",tblOnboarding[[#This Row],[Due Date]]=""),"No",IF(tblOnboarding[[#This Row],[Due Date]]&lt;ReportDate,"Yes","No"))</f>
        <v>No</v>
      </c>
      <c r="K135" s="9" t="str">
        <f>IF(tblOnboarding[[#This Row],[Overdue]]="Yes",ReportDate-tblOnboarding[[#This Row],[Due Date]],"")</f>
        <v/>
      </c>
      <c r="L135" s="8" t="str">
        <f>IF(OR(tblOnboarding[[#This Row],[Status]]="Completed",tblOnboarding[[#This Row],[Due Date]]=""),"No",IF(AND(tblOnboarding[[#This Row],[Due Date]]&gt;=ReportDate,tblOnboarding[[#This Row],[Due Date]]&lt;=ReportDate+DueSoonDays),"Yes","No"))</f>
        <v>Yes</v>
      </c>
      <c r="M135" s="5"/>
    </row>
    <row r="136" spans="1:13" x14ac:dyDescent="0.3">
      <c r="A136" s="5" t="s">
        <v>333</v>
      </c>
      <c r="B136" s="5" t="s">
        <v>51</v>
      </c>
      <c r="C136" s="5" t="str">
        <f>IFERROR(INDEX(tblEmployees[Employee Name],MATCH(tblOnboarding[[#This Row],[Employee ID]],tblEmployees[Employee ID],0)),"ID not found")</f>
        <v>Dipti Mane</v>
      </c>
      <c r="D136" s="5" t="str">
        <f>IFERROR(INDEX(tblEmployees[Department],MATCH(tblOnboarding[[#This Row],[Employee ID]],tblEmployees[Employee ID],0)),"")</f>
        <v>Customer Support</v>
      </c>
      <c r="E136" s="5" t="s">
        <v>184</v>
      </c>
      <c r="F136" s="5" t="s">
        <v>5</v>
      </c>
      <c r="G136" s="6">
        <v>46316</v>
      </c>
      <c r="H136" s="6"/>
      <c r="I136" s="8" t="s">
        <v>205</v>
      </c>
      <c r="J136" s="8" t="str">
        <f>IF(OR(tblOnboarding[[#This Row],[Status]]="Completed",tblOnboarding[[#This Row],[Due Date]]=""),"No",IF(tblOnboarding[[#This Row],[Due Date]]&lt;ReportDate,"Yes","No"))</f>
        <v>No</v>
      </c>
      <c r="K136" s="9" t="str">
        <f>IF(tblOnboarding[[#This Row],[Overdue]]="Yes",ReportDate-tblOnboarding[[#This Row],[Due Date]],"")</f>
        <v/>
      </c>
      <c r="L136" s="8" t="str">
        <f>IF(OR(tblOnboarding[[#This Row],[Status]]="Completed",tblOnboarding[[#This Row],[Due Date]]=""),"No",IF(AND(tblOnboarding[[#This Row],[Due Date]]&gt;=ReportDate,tblOnboarding[[#This Row],[Due Date]]&lt;=ReportDate+DueSoonDays),"Yes","No"))</f>
        <v>No</v>
      </c>
      <c r="M136" s="5"/>
    </row>
    <row r="137" spans="1:13" x14ac:dyDescent="0.3">
      <c r="A137" s="5" t="s">
        <v>334</v>
      </c>
      <c r="B137" s="5" t="s">
        <v>51</v>
      </c>
      <c r="C137" s="5" t="str">
        <f>IFERROR(INDEX(tblEmployees[Employee Name],MATCH(tblOnboarding[[#This Row],[Employee ID]],tblEmployees[Employee ID],0)),"ID not found")</f>
        <v>Dipti Mane</v>
      </c>
      <c r="D137" s="5" t="str">
        <f>IFERROR(INDEX(tblEmployees[Department],MATCH(tblOnboarding[[#This Row],[Employee ID]],tblEmployees[Employee ID],0)),"")</f>
        <v>Customer Support</v>
      </c>
      <c r="E137" s="5" t="s">
        <v>186</v>
      </c>
      <c r="F137" s="5" t="s">
        <v>168</v>
      </c>
      <c r="G137" s="6">
        <v>46323</v>
      </c>
      <c r="H137" s="6"/>
      <c r="I137" s="8" t="s">
        <v>187</v>
      </c>
      <c r="J137" s="8" t="str">
        <f>IF(OR(tblOnboarding[[#This Row],[Status]]="Completed",tblOnboarding[[#This Row],[Due Date]]=""),"No",IF(tblOnboarding[[#This Row],[Due Date]]&lt;ReportDate,"Yes","No"))</f>
        <v>No</v>
      </c>
      <c r="K137" s="9" t="str">
        <f>IF(tblOnboarding[[#This Row],[Overdue]]="Yes",ReportDate-tblOnboarding[[#This Row],[Due Date]],"")</f>
        <v/>
      </c>
      <c r="L137" s="8" t="str">
        <f>IF(OR(tblOnboarding[[#This Row],[Status]]="Completed",tblOnboarding[[#This Row],[Due Date]]=""),"No",IF(AND(tblOnboarding[[#This Row],[Due Date]]&gt;=ReportDate,tblOnboarding[[#This Row],[Due Date]]&lt;=ReportDate+DueSoonDays),"Yes","No"))</f>
        <v>No</v>
      </c>
      <c r="M137" s="5"/>
    </row>
  </sheetData>
  <conditionalFormatting sqref="G2:G500">
    <cfRule type="expression" dxfId="16" priority="2">
      <formula>$J2="Yes"</formula>
    </cfRule>
    <cfRule type="expression" dxfId="15" priority="3">
      <formula>$L2="Yes"</formula>
    </cfRule>
  </conditionalFormatting>
  <conditionalFormatting sqref="J2:J500">
    <cfRule type="cellIs" dxfId="14" priority="4" operator="equal">
      <formula>"Yes"</formula>
    </cfRule>
  </conditionalFormatting>
  <conditionalFormatting sqref="L2:L500">
    <cfRule type="expression" dxfId="13" priority="5">
      <formula>$L2="Yes"</formula>
    </cfRule>
  </conditionalFormatting>
  <dataValidations count="4">
    <dataValidation type="list" allowBlank="1" showErrorMessage="1" errorTitle="Employee ID" error="Employee ID must exist in the Employee Master." sqref="B2:B137 B138:B500">
      <formula1>EmployeeIDs</formula1>
      <formula2>0</formula2>
    </dataValidation>
    <dataValidation type="list" allowBlank="1" showErrorMessage="1" errorTitle="Onboarding Task" error="Pick a task from the list." sqref="E2:E137 E138:E500">
      <formula1>lstTask</formula1>
      <formula2>0</formula2>
    </dataValidation>
    <dataValidation type="list" allowBlank="1" showErrorMessage="1" errorTitle="Task Owner" error="Pick an owner from the list." sqref="F2:F137 F138:F500">
      <formula1>lstOwner</formula1>
      <formula2>0</formula2>
    </dataValidation>
    <dataValidation type="list" allowBlank="1" showErrorMessage="1" errorTitle="Status" error="Pending, In Progress or Completed." sqref="I2:I137 I138:I500">
      <formula1>lstTaskStatus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9"/>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3" customWidth="1"/>
    <col min="2" max="2" width="22" customWidth="1"/>
    <col min="3" max="3" width="24" customWidth="1"/>
    <col min="4" max="4" width="18" customWidth="1"/>
    <col min="5" max="5" width="20" customWidth="1"/>
    <col min="6" max="6" width="22" customWidth="1"/>
    <col min="7" max="7" width="56" customWidth="1"/>
  </cols>
  <sheetData>
    <row r="1" spans="1:7" ht="25.5" customHeight="1" x14ac:dyDescent="0.3">
      <c r="A1" s="4" t="s">
        <v>0</v>
      </c>
      <c r="B1" s="7" t="s">
        <v>1</v>
      </c>
      <c r="C1" s="4" t="s">
        <v>335</v>
      </c>
      <c r="D1" s="4" t="s">
        <v>336</v>
      </c>
      <c r="E1" s="4" t="s">
        <v>337</v>
      </c>
      <c r="F1" s="7" t="s">
        <v>338</v>
      </c>
      <c r="G1" s="4" t="s">
        <v>165</v>
      </c>
    </row>
    <row r="2" spans="1:7" x14ac:dyDescent="0.3">
      <c r="A2" s="5" t="s">
        <v>132</v>
      </c>
      <c r="B2" s="5" t="str">
        <f>IFERROR(INDEX(tblEmployees[Employee Name],MATCH(tblDocuments[[#This Row],[Employee ID]],tblEmployees[Employee ID],0)),"ID not found")</f>
        <v>Siddharth Agarwal</v>
      </c>
      <c r="C2" s="5" t="s">
        <v>339</v>
      </c>
      <c r="D2" s="5" t="s">
        <v>340</v>
      </c>
      <c r="E2" s="5" t="s">
        <v>341</v>
      </c>
      <c r="F2" s="5" t="str">
        <f>IF(tblDocuments[[#This Row],[Submission Status]]&lt;&gt;"Submitted","Not Submitted",IF(tblDocuments[[#This Row],[Verification Status]]="Verified","Verified",IF(tblDocuments[[#This Row],[Verification Status]]="Needs Resubmission","Needs Resubmission","Awaiting Verification")))</f>
        <v>Verified</v>
      </c>
      <c r="G2" s="5"/>
    </row>
    <row r="3" spans="1:7" x14ac:dyDescent="0.3">
      <c r="A3" s="5" t="s">
        <v>132</v>
      </c>
      <c r="B3" s="5" t="str">
        <f>IFERROR(INDEX(tblEmployees[Employee Name],MATCH(tblDocuments[[#This Row],[Employee ID]],tblEmployees[Employee ID],0)),"ID not found")</f>
        <v>Siddharth Agarwal</v>
      </c>
      <c r="C3" s="5" t="s">
        <v>342</v>
      </c>
      <c r="D3" s="5" t="s">
        <v>340</v>
      </c>
      <c r="E3" s="5" t="s">
        <v>341</v>
      </c>
      <c r="F3" s="5" t="str">
        <f>IF(tblDocuments[[#This Row],[Submission Status]]&lt;&gt;"Submitted","Not Submitted",IF(tblDocuments[[#This Row],[Verification Status]]="Verified","Verified",IF(tblDocuments[[#This Row],[Verification Status]]="Needs Resubmission","Needs Resubmission","Awaiting Verification")))</f>
        <v>Verified</v>
      </c>
      <c r="G3" s="5"/>
    </row>
    <row r="4" spans="1:7" x14ac:dyDescent="0.3">
      <c r="A4" s="5" t="s">
        <v>132</v>
      </c>
      <c r="B4" s="5" t="str">
        <f>IFERROR(INDEX(tblEmployees[Employee Name],MATCH(tblDocuments[[#This Row],[Employee ID]],tblEmployees[Employee ID],0)),"ID not found")</f>
        <v>Siddharth Agarwal</v>
      </c>
      <c r="C4" s="5" t="s">
        <v>343</v>
      </c>
      <c r="D4" s="5" t="s">
        <v>340</v>
      </c>
      <c r="E4" s="5" t="s">
        <v>344</v>
      </c>
      <c r="F4" s="5" t="str">
        <f>IF(tblDocuments[[#This Row],[Submission Status]]&lt;&gt;"Submitted","Not Submitted",IF(tblDocuments[[#This Row],[Verification Status]]="Verified","Verified",IF(tblDocuments[[#This Row],[Verification Status]]="Needs Resubmission","Needs Resubmission","Awaiting Verification")))</f>
        <v>Awaiting Verification</v>
      </c>
      <c r="G4" s="5" t="s">
        <v>345</v>
      </c>
    </row>
    <row r="5" spans="1:7" x14ac:dyDescent="0.3">
      <c r="A5" s="5" t="s">
        <v>132</v>
      </c>
      <c r="B5" s="5" t="str">
        <f>IFERROR(INDEX(tblEmployees[Employee Name],MATCH(tblDocuments[[#This Row],[Employee ID]],tblEmployees[Employee ID],0)),"ID not found")</f>
        <v>Siddharth Agarwal</v>
      </c>
      <c r="C5" s="5" t="s">
        <v>346</v>
      </c>
      <c r="D5" s="5" t="s">
        <v>340</v>
      </c>
      <c r="E5" s="5" t="s">
        <v>344</v>
      </c>
      <c r="F5" s="5" t="str">
        <f>IF(tblDocuments[[#This Row],[Submission Status]]&lt;&gt;"Submitted","Not Submitted",IF(tblDocuments[[#This Row],[Verification Status]]="Verified","Verified",IF(tblDocuments[[#This Row],[Verification Status]]="Needs Resubmission","Needs Resubmission","Awaiting Verification")))</f>
        <v>Awaiting Verification</v>
      </c>
      <c r="G5" s="5"/>
    </row>
    <row r="6" spans="1:7" x14ac:dyDescent="0.3">
      <c r="A6" s="5" t="s">
        <v>67</v>
      </c>
      <c r="B6" s="5" t="str">
        <f>IFERROR(INDEX(tblEmployees[Employee Name],MATCH(tblDocuments[[#This Row],[Employee ID]],tblEmployees[Employee ID],0)),"ID not found")</f>
        <v>Karan Pawar</v>
      </c>
      <c r="C6" s="5" t="s">
        <v>339</v>
      </c>
      <c r="D6" s="5" t="s">
        <v>340</v>
      </c>
      <c r="E6" s="5" t="s">
        <v>347</v>
      </c>
      <c r="F6" s="5" t="str">
        <f>IF(tblDocuments[[#This Row],[Submission Status]]&lt;&gt;"Submitted","Not Submitted",IF(tblDocuments[[#This Row],[Verification Status]]="Verified","Verified",IF(tblDocuments[[#This Row],[Verification Status]]="Needs Resubmission","Needs Resubmission","Awaiting Verification")))</f>
        <v>Needs Resubmission</v>
      </c>
      <c r="G6" s="5" t="s">
        <v>348</v>
      </c>
    </row>
    <row r="7" spans="1:7" x14ac:dyDescent="0.3">
      <c r="A7" s="5" t="s">
        <v>67</v>
      </c>
      <c r="B7" s="5" t="str">
        <f>IFERROR(INDEX(tblEmployees[Employee Name],MATCH(tblDocuments[[#This Row],[Employee ID]],tblEmployees[Employee ID],0)),"ID not found")</f>
        <v>Karan Pawar</v>
      </c>
      <c r="C7" s="5" t="s">
        <v>342</v>
      </c>
      <c r="D7" s="5" t="s">
        <v>340</v>
      </c>
      <c r="E7" s="5" t="s">
        <v>341</v>
      </c>
      <c r="F7" s="5" t="str">
        <f>IF(tblDocuments[[#This Row],[Submission Status]]&lt;&gt;"Submitted","Not Submitted",IF(tblDocuments[[#This Row],[Verification Status]]="Verified","Verified",IF(tblDocuments[[#This Row],[Verification Status]]="Needs Resubmission","Needs Resubmission","Awaiting Verification")))</f>
        <v>Verified</v>
      </c>
      <c r="G7" s="5"/>
    </row>
    <row r="8" spans="1:7" x14ac:dyDescent="0.3">
      <c r="A8" s="5" t="s">
        <v>67</v>
      </c>
      <c r="B8" s="5" t="str">
        <f>IFERROR(INDEX(tblEmployees[Employee Name],MATCH(tblDocuments[[#This Row],[Employee ID]],tblEmployees[Employee ID],0)),"ID not found")</f>
        <v>Karan Pawar</v>
      </c>
      <c r="C8" s="5" t="s">
        <v>343</v>
      </c>
      <c r="D8" s="5" t="s">
        <v>340</v>
      </c>
      <c r="E8" s="5" t="s">
        <v>341</v>
      </c>
      <c r="F8" s="5" t="str">
        <f>IF(tblDocuments[[#This Row],[Submission Status]]&lt;&gt;"Submitted","Not Submitted",IF(tblDocuments[[#This Row],[Verification Status]]="Verified","Verified",IF(tblDocuments[[#This Row],[Verification Status]]="Needs Resubmission","Needs Resubmission","Awaiting Verification")))</f>
        <v>Verified</v>
      </c>
      <c r="G8" s="5"/>
    </row>
    <row r="9" spans="1:7" x14ac:dyDescent="0.3">
      <c r="A9" s="5" t="s">
        <v>67</v>
      </c>
      <c r="B9" s="5" t="str">
        <f>IFERROR(INDEX(tblEmployees[Employee Name],MATCH(tblDocuments[[#This Row],[Employee ID]],tblEmployees[Employee ID],0)),"ID not found")</f>
        <v>Karan Pawar</v>
      </c>
      <c r="C9" s="5" t="s">
        <v>346</v>
      </c>
      <c r="D9" s="5" t="s">
        <v>340</v>
      </c>
      <c r="E9" s="5" t="s">
        <v>341</v>
      </c>
      <c r="F9" s="5" t="str">
        <f>IF(tblDocuments[[#This Row],[Submission Status]]&lt;&gt;"Submitted","Not Submitted",IF(tblDocuments[[#This Row],[Verification Status]]="Verified","Verified",IF(tblDocuments[[#This Row],[Verification Status]]="Needs Resubmission","Needs Resubmission","Awaiting Verification")))</f>
        <v>Verified</v>
      </c>
      <c r="G9" s="5"/>
    </row>
    <row r="10" spans="1:7" x14ac:dyDescent="0.3">
      <c r="A10" s="5" t="s">
        <v>147</v>
      </c>
      <c r="B10" s="5" t="str">
        <f>IFERROR(INDEX(tblEmployees[Employee Name],MATCH(tblDocuments[[#This Row],[Employee ID]],tblEmployees[Employee ID],0)),"ID not found")</f>
        <v>Tushar Banerjee</v>
      </c>
      <c r="C10" s="5" t="s">
        <v>339</v>
      </c>
      <c r="D10" s="5" t="s">
        <v>340</v>
      </c>
      <c r="E10" s="5" t="s">
        <v>341</v>
      </c>
      <c r="F10" s="5" t="str">
        <f>IF(tblDocuments[[#This Row],[Submission Status]]&lt;&gt;"Submitted","Not Submitted",IF(tblDocuments[[#This Row],[Verification Status]]="Verified","Verified",IF(tblDocuments[[#This Row],[Verification Status]]="Needs Resubmission","Needs Resubmission","Awaiting Verification")))</f>
        <v>Verified</v>
      </c>
      <c r="G10" s="5"/>
    </row>
    <row r="11" spans="1:7" x14ac:dyDescent="0.3">
      <c r="A11" s="5" t="s">
        <v>147</v>
      </c>
      <c r="B11" s="5" t="str">
        <f>IFERROR(INDEX(tblEmployees[Employee Name],MATCH(tblDocuments[[#This Row],[Employee ID]],tblEmployees[Employee ID],0)),"ID not found")</f>
        <v>Tushar Banerjee</v>
      </c>
      <c r="C11" s="5" t="s">
        <v>342</v>
      </c>
      <c r="D11" s="5" t="s">
        <v>340</v>
      </c>
      <c r="E11" s="5" t="s">
        <v>341</v>
      </c>
      <c r="F11" s="5" t="str">
        <f>IF(tblDocuments[[#This Row],[Submission Status]]&lt;&gt;"Submitted","Not Submitted",IF(tblDocuments[[#This Row],[Verification Status]]="Verified","Verified",IF(tblDocuments[[#This Row],[Verification Status]]="Needs Resubmission","Needs Resubmission","Awaiting Verification")))</f>
        <v>Verified</v>
      </c>
      <c r="G11" s="5"/>
    </row>
    <row r="12" spans="1:7" x14ac:dyDescent="0.3">
      <c r="A12" s="5" t="s">
        <v>147</v>
      </c>
      <c r="B12" s="5" t="str">
        <f>IFERROR(INDEX(tblEmployees[Employee Name],MATCH(tblDocuments[[#This Row],[Employee ID]],tblEmployees[Employee ID],0)),"ID not found")</f>
        <v>Tushar Banerjee</v>
      </c>
      <c r="C12" s="5" t="s">
        <v>343</v>
      </c>
      <c r="D12" s="5" t="s">
        <v>340</v>
      </c>
      <c r="E12" s="5" t="s">
        <v>341</v>
      </c>
      <c r="F12" s="5" t="str">
        <f>IF(tblDocuments[[#This Row],[Submission Status]]&lt;&gt;"Submitted","Not Submitted",IF(tblDocuments[[#This Row],[Verification Status]]="Verified","Verified",IF(tblDocuments[[#This Row],[Verification Status]]="Needs Resubmission","Needs Resubmission","Awaiting Verification")))</f>
        <v>Verified</v>
      </c>
      <c r="G12" s="5"/>
    </row>
    <row r="13" spans="1:7" x14ac:dyDescent="0.3">
      <c r="A13" s="5" t="s">
        <v>147</v>
      </c>
      <c r="B13" s="5" t="str">
        <f>IFERROR(INDEX(tblEmployees[Employee Name],MATCH(tblDocuments[[#This Row],[Employee ID]],tblEmployees[Employee ID],0)),"ID not found")</f>
        <v>Tushar Banerjee</v>
      </c>
      <c r="C13" s="5" t="s">
        <v>346</v>
      </c>
      <c r="D13" s="5" t="s">
        <v>349</v>
      </c>
      <c r="E13" s="5" t="s">
        <v>344</v>
      </c>
      <c r="F13" s="5" t="str">
        <f>IF(tblDocuments[[#This Row],[Submission Status]]&lt;&gt;"Submitted","Not Submitted",IF(tblDocuments[[#This Row],[Verification Status]]="Verified","Verified",IF(tblDocuments[[#This Row],[Verification Status]]="Needs Resubmission","Needs Resubmission","Awaiting Verification")))</f>
        <v>Not Submitted</v>
      </c>
      <c r="G13" s="5" t="s">
        <v>350</v>
      </c>
    </row>
    <row r="14" spans="1:7" x14ac:dyDescent="0.3">
      <c r="A14" s="5" t="s">
        <v>112</v>
      </c>
      <c r="B14" s="5" t="str">
        <f>IFERROR(INDEX(tblEmployees[Employee Name],MATCH(tblDocuments[[#This Row],[Employee ID]],tblEmployees[Employee ID],0)),"ID not found")</f>
        <v>Priya Kadam</v>
      </c>
      <c r="C14" s="5" t="s">
        <v>339</v>
      </c>
      <c r="D14" s="5" t="s">
        <v>349</v>
      </c>
      <c r="E14" s="5" t="s">
        <v>344</v>
      </c>
      <c r="F14" s="5" t="str">
        <f>IF(tblDocuments[[#This Row],[Submission Status]]&lt;&gt;"Submitted","Not Submitted",IF(tblDocuments[[#This Row],[Verification Status]]="Verified","Verified",IF(tblDocuments[[#This Row],[Verification Status]]="Needs Resubmission","Needs Resubmission","Awaiting Verification")))</f>
        <v>Not Submitted</v>
      </c>
      <c r="G14" s="5" t="s">
        <v>351</v>
      </c>
    </row>
    <row r="15" spans="1:7" x14ac:dyDescent="0.3">
      <c r="A15" s="5" t="s">
        <v>112</v>
      </c>
      <c r="B15" s="5" t="str">
        <f>IFERROR(INDEX(tblEmployees[Employee Name],MATCH(tblDocuments[[#This Row],[Employee ID]],tblEmployees[Employee ID],0)),"ID not found")</f>
        <v>Priya Kadam</v>
      </c>
      <c r="C15" s="5" t="s">
        <v>342</v>
      </c>
      <c r="D15" s="5" t="s">
        <v>340</v>
      </c>
      <c r="E15" s="5" t="s">
        <v>341</v>
      </c>
      <c r="F15" s="5" t="str">
        <f>IF(tblDocuments[[#This Row],[Submission Status]]&lt;&gt;"Submitted","Not Submitted",IF(tblDocuments[[#This Row],[Verification Status]]="Verified","Verified",IF(tblDocuments[[#This Row],[Verification Status]]="Needs Resubmission","Needs Resubmission","Awaiting Verification")))</f>
        <v>Verified</v>
      </c>
      <c r="G15" s="5"/>
    </row>
    <row r="16" spans="1:7" x14ac:dyDescent="0.3">
      <c r="A16" s="5" t="s">
        <v>112</v>
      </c>
      <c r="B16" s="5" t="str">
        <f>IFERROR(INDEX(tblEmployees[Employee Name],MATCH(tblDocuments[[#This Row],[Employee ID]],tblEmployees[Employee ID],0)),"ID not found")</f>
        <v>Priya Kadam</v>
      </c>
      <c r="C16" s="5" t="s">
        <v>343</v>
      </c>
      <c r="D16" s="5" t="s">
        <v>349</v>
      </c>
      <c r="E16" s="5" t="s">
        <v>344</v>
      </c>
      <c r="F16" s="5" t="str">
        <f>IF(tblDocuments[[#This Row],[Submission Status]]&lt;&gt;"Submitted","Not Submitted",IF(tblDocuments[[#This Row],[Verification Status]]="Verified","Verified",IF(tblDocuments[[#This Row],[Verification Status]]="Needs Resubmission","Needs Resubmission","Awaiting Verification")))</f>
        <v>Not Submitted</v>
      </c>
      <c r="G16" s="5" t="s">
        <v>352</v>
      </c>
    </row>
    <row r="17" spans="1:7" x14ac:dyDescent="0.3">
      <c r="A17" s="5" t="s">
        <v>112</v>
      </c>
      <c r="B17" s="5" t="str">
        <f>IFERROR(INDEX(tblEmployees[Employee Name],MATCH(tblDocuments[[#This Row],[Employee ID]],tblEmployees[Employee ID],0)),"ID not found")</f>
        <v>Priya Kadam</v>
      </c>
      <c r="C17" s="5" t="s">
        <v>346</v>
      </c>
      <c r="D17" s="5" t="s">
        <v>349</v>
      </c>
      <c r="E17" s="5" t="s">
        <v>344</v>
      </c>
      <c r="F17" s="5" t="str">
        <f>IF(tblDocuments[[#This Row],[Submission Status]]&lt;&gt;"Submitted","Not Submitted",IF(tblDocuments[[#This Row],[Verification Status]]="Verified","Verified",IF(tblDocuments[[#This Row],[Verification Status]]="Needs Resubmission","Needs Resubmission","Awaiting Verification")))</f>
        <v>Not Submitted</v>
      </c>
      <c r="G17" s="5" t="s">
        <v>350</v>
      </c>
    </row>
    <row r="18" spans="1:7" x14ac:dyDescent="0.3">
      <c r="A18" s="5" t="s">
        <v>105</v>
      </c>
      <c r="B18" s="5" t="str">
        <f>IFERROR(INDEX(tblEmployees[Employee Name],MATCH(tblDocuments[[#This Row],[Employee ID]],tblEmployees[Employee ID],0)),"ID not found")</f>
        <v>Pooja Thakur</v>
      </c>
      <c r="C18" s="5" t="s">
        <v>339</v>
      </c>
      <c r="D18" s="5" t="s">
        <v>340</v>
      </c>
      <c r="E18" s="5" t="s">
        <v>341</v>
      </c>
      <c r="F18" s="5" t="str">
        <f>IF(tblDocuments[[#This Row],[Submission Status]]&lt;&gt;"Submitted","Not Submitted",IF(tblDocuments[[#This Row],[Verification Status]]="Verified","Verified",IF(tblDocuments[[#This Row],[Verification Status]]="Needs Resubmission","Needs Resubmission","Awaiting Verification")))</f>
        <v>Verified</v>
      </c>
      <c r="G18" s="5"/>
    </row>
    <row r="19" spans="1:7" x14ac:dyDescent="0.3">
      <c r="A19" s="5" t="s">
        <v>105</v>
      </c>
      <c r="B19" s="5" t="str">
        <f>IFERROR(INDEX(tblEmployees[Employee Name],MATCH(tblDocuments[[#This Row],[Employee ID]],tblEmployees[Employee ID],0)),"ID not found")</f>
        <v>Pooja Thakur</v>
      </c>
      <c r="C19" s="5" t="s">
        <v>342</v>
      </c>
      <c r="D19" s="5" t="s">
        <v>340</v>
      </c>
      <c r="E19" s="5" t="s">
        <v>341</v>
      </c>
      <c r="F19" s="5" t="str">
        <f>IF(tblDocuments[[#This Row],[Submission Status]]&lt;&gt;"Submitted","Not Submitted",IF(tblDocuments[[#This Row],[Verification Status]]="Verified","Verified",IF(tblDocuments[[#This Row],[Verification Status]]="Needs Resubmission","Needs Resubmission","Awaiting Verification")))</f>
        <v>Verified</v>
      </c>
      <c r="G19" s="5"/>
    </row>
    <row r="20" spans="1:7" x14ac:dyDescent="0.3">
      <c r="A20" s="5" t="s">
        <v>105</v>
      </c>
      <c r="B20" s="5" t="str">
        <f>IFERROR(INDEX(tblEmployees[Employee Name],MATCH(tblDocuments[[#This Row],[Employee ID]],tblEmployees[Employee ID],0)),"ID not found")</f>
        <v>Pooja Thakur</v>
      </c>
      <c r="C20" s="5" t="s">
        <v>343</v>
      </c>
      <c r="D20" s="5" t="s">
        <v>340</v>
      </c>
      <c r="E20" s="5" t="s">
        <v>344</v>
      </c>
      <c r="F20" s="5" t="str">
        <f>IF(tblDocuments[[#This Row],[Submission Status]]&lt;&gt;"Submitted","Not Submitted",IF(tblDocuments[[#This Row],[Verification Status]]="Verified","Verified",IF(tblDocuments[[#This Row],[Verification Status]]="Needs Resubmission","Needs Resubmission","Awaiting Verification")))</f>
        <v>Awaiting Verification</v>
      </c>
      <c r="G20" s="5" t="s">
        <v>345</v>
      </c>
    </row>
    <row r="21" spans="1:7" x14ac:dyDescent="0.3">
      <c r="A21" s="5" t="s">
        <v>105</v>
      </c>
      <c r="B21" s="5" t="str">
        <f>IFERROR(INDEX(tblEmployees[Employee Name],MATCH(tblDocuments[[#This Row],[Employee ID]],tblEmployees[Employee ID],0)),"ID not found")</f>
        <v>Pooja Thakur</v>
      </c>
      <c r="C21" s="5" t="s">
        <v>346</v>
      </c>
      <c r="D21" s="5" t="s">
        <v>340</v>
      </c>
      <c r="E21" s="5" t="s">
        <v>341</v>
      </c>
      <c r="F21" s="5" t="str">
        <f>IF(tblDocuments[[#This Row],[Submission Status]]&lt;&gt;"Submitted","Not Submitted",IF(tblDocuments[[#This Row],[Verification Status]]="Verified","Verified",IF(tblDocuments[[#This Row],[Verification Status]]="Needs Resubmission","Needs Resubmission","Awaiting Verification")))</f>
        <v>Verified</v>
      </c>
      <c r="G21" s="5"/>
    </row>
    <row r="22" spans="1:7" x14ac:dyDescent="0.3">
      <c r="A22" s="5" t="s">
        <v>149</v>
      </c>
      <c r="B22" s="5" t="str">
        <f>IFERROR(INDEX(tblEmployees[Employee Name],MATCH(tblDocuments[[#This Row],[Employee ID]],tblEmployees[Employee ID],0)),"ID not found")</f>
        <v>Vaishnavi Pillai</v>
      </c>
      <c r="C22" s="5" t="s">
        <v>339</v>
      </c>
      <c r="D22" s="5" t="s">
        <v>340</v>
      </c>
      <c r="E22" s="5" t="s">
        <v>341</v>
      </c>
      <c r="F22" s="5" t="str">
        <f>IF(tblDocuments[[#This Row],[Submission Status]]&lt;&gt;"Submitted","Not Submitted",IF(tblDocuments[[#This Row],[Verification Status]]="Verified","Verified",IF(tblDocuments[[#This Row],[Verification Status]]="Needs Resubmission","Needs Resubmission","Awaiting Verification")))</f>
        <v>Verified</v>
      </c>
      <c r="G22" s="5"/>
    </row>
    <row r="23" spans="1:7" x14ac:dyDescent="0.3">
      <c r="A23" s="5" t="s">
        <v>149</v>
      </c>
      <c r="B23" s="5" t="str">
        <f>IFERROR(INDEX(tblEmployees[Employee Name],MATCH(tblDocuments[[#This Row],[Employee ID]],tblEmployees[Employee ID],0)),"ID not found")</f>
        <v>Vaishnavi Pillai</v>
      </c>
      <c r="C23" s="5" t="s">
        <v>342</v>
      </c>
      <c r="D23" s="5" t="s">
        <v>340</v>
      </c>
      <c r="E23" s="5" t="s">
        <v>341</v>
      </c>
      <c r="F23" s="5" t="str">
        <f>IF(tblDocuments[[#This Row],[Submission Status]]&lt;&gt;"Submitted","Not Submitted",IF(tblDocuments[[#This Row],[Verification Status]]="Verified","Verified",IF(tblDocuments[[#This Row],[Verification Status]]="Needs Resubmission","Needs Resubmission","Awaiting Verification")))</f>
        <v>Verified</v>
      </c>
      <c r="G23" s="5"/>
    </row>
    <row r="24" spans="1:7" x14ac:dyDescent="0.3">
      <c r="A24" s="5" t="s">
        <v>149</v>
      </c>
      <c r="B24" s="5" t="str">
        <f>IFERROR(INDEX(tblEmployees[Employee Name],MATCH(tblDocuments[[#This Row],[Employee ID]],tblEmployees[Employee ID],0)),"ID not found")</f>
        <v>Vaishnavi Pillai</v>
      </c>
      <c r="C24" s="5" t="s">
        <v>343</v>
      </c>
      <c r="D24" s="5" t="s">
        <v>340</v>
      </c>
      <c r="E24" s="5" t="s">
        <v>344</v>
      </c>
      <c r="F24" s="5" t="str">
        <f>IF(tblDocuments[[#This Row],[Submission Status]]&lt;&gt;"Submitted","Not Submitted",IF(tblDocuments[[#This Row],[Verification Status]]="Verified","Verified",IF(tblDocuments[[#This Row],[Verification Status]]="Needs Resubmission","Needs Resubmission","Awaiting Verification")))</f>
        <v>Awaiting Verification</v>
      </c>
      <c r="G24" s="5" t="s">
        <v>345</v>
      </c>
    </row>
    <row r="25" spans="1:7" x14ac:dyDescent="0.3">
      <c r="A25" s="5" t="s">
        <v>149</v>
      </c>
      <c r="B25" s="5" t="str">
        <f>IFERROR(INDEX(tblEmployees[Employee Name],MATCH(tblDocuments[[#This Row],[Employee ID]],tblEmployees[Employee ID],0)),"ID not found")</f>
        <v>Vaishnavi Pillai</v>
      </c>
      <c r="C25" s="5" t="s">
        <v>346</v>
      </c>
      <c r="D25" s="5" t="s">
        <v>340</v>
      </c>
      <c r="E25" s="5" t="s">
        <v>341</v>
      </c>
      <c r="F25" s="5" t="str">
        <f>IF(tblDocuments[[#This Row],[Submission Status]]&lt;&gt;"Submitted","Not Submitted",IF(tblDocuments[[#This Row],[Verification Status]]="Verified","Verified",IF(tblDocuments[[#This Row],[Verification Status]]="Needs Resubmission","Needs Resubmission","Awaiting Verification")))</f>
        <v>Verified</v>
      </c>
      <c r="G25" s="5"/>
    </row>
    <row r="26" spans="1:7" x14ac:dyDescent="0.3">
      <c r="A26" s="5" t="s">
        <v>85</v>
      </c>
      <c r="B26" s="5" t="str">
        <f>IFERROR(INDEX(tblEmployees[Employee Name],MATCH(tblDocuments[[#This Row],[Employee ID]],tblEmployees[Employee ID],0)),"ID not found")</f>
        <v>Manoj Nair</v>
      </c>
      <c r="C26" s="5" t="s">
        <v>339</v>
      </c>
      <c r="D26" s="5" t="s">
        <v>340</v>
      </c>
      <c r="E26" s="5" t="s">
        <v>341</v>
      </c>
      <c r="F26" s="5" t="str">
        <f>IF(tblDocuments[[#This Row],[Submission Status]]&lt;&gt;"Submitted","Not Submitted",IF(tblDocuments[[#This Row],[Verification Status]]="Verified","Verified",IF(tblDocuments[[#This Row],[Verification Status]]="Needs Resubmission","Needs Resubmission","Awaiting Verification")))</f>
        <v>Verified</v>
      </c>
      <c r="G26" s="5"/>
    </row>
    <row r="27" spans="1:7" x14ac:dyDescent="0.3">
      <c r="A27" s="5" t="s">
        <v>85</v>
      </c>
      <c r="B27" s="5" t="str">
        <f>IFERROR(INDEX(tblEmployees[Employee Name],MATCH(tblDocuments[[#This Row],[Employee ID]],tblEmployees[Employee ID],0)),"ID not found")</f>
        <v>Manoj Nair</v>
      </c>
      <c r="C27" s="5" t="s">
        <v>342</v>
      </c>
      <c r="D27" s="5" t="s">
        <v>340</v>
      </c>
      <c r="E27" s="5" t="s">
        <v>341</v>
      </c>
      <c r="F27" s="5" t="str">
        <f>IF(tblDocuments[[#This Row],[Submission Status]]&lt;&gt;"Submitted","Not Submitted",IF(tblDocuments[[#This Row],[Verification Status]]="Verified","Verified",IF(tblDocuments[[#This Row],[Verification Status]]="Needs Resubmission","Needs Resubmission","Awaiting Verification")))</f>
        <v>Verified</v>
      </c>
      <c r="G27" s="5"/>
    </row>
    <row r="28" spans="1:7" x14ac:dyDescent="0.3">
      <c r="A28" s="5" t="s">
        <v>85</v>
      </c>
      <c r="B28" s="5" t="str">
        <f>IFERROR(INDEX(tblEmployees[Employee Name],MATCH(tblDocuments[[#This Row],[Employee ID]],tblEmployees[Employee ID],0)),"ID not found")</f>
        <v>Manoj Nair</v>
      </c>
      <c r="C28" s="5" t="s">
        <v>343</v>
      </c>
      <c r="D28" s="5" t="s">
        <v>340</v>
      </c>
      <c r="E28" s="5" t="s">
        <v>341</v>
      </c>
      <c r="F28" s="5" t="str">
        <f>IF(tblDocuments[[#This Row],[Submission Status]]&lt;&gt;"Submitted","Not Submitted",IF(tblDocuments[[#This Row],[Verification Status]]="Verified","Verified",IF(tblDocuments[[#This Row],[Verification Status]]="Needs Resubmission","Needs Resubmission","Awaiting Verification")))</f>
        <v>Verified</v>
      </c>
      <c r="G28" s="5"/>
    </row>
    <row r="29" spans="1:7" x14ac:dyDescent="0.3">
      <c r="A29" s="5" t="s">
        <v>85</v>
      </c>
      <c r="B29" s="5" t="str">
        <f>IFERROR(INDEX(tblEmployees[Employee Name],MATCH(tblDocuments[[#This Row],[Employee ID]],tblEmployees[Employee ID],0)),"ID not found")</f>
        <v>Manoj Nair</v>
      </c>
      <c r="C29" s="5" t="s">
        <v>346</v>
      </c>
      <c r="D29" s="5" t="s">
        <v>340</v>
      </c>
      <c r="E29" s="5" t="s">
        <v>341</v>
      </c>
      <c r="F29" s="5" t="str">
        <f>IF(tblDocuments[[#This Row],[Submission Status]]&lt;&gt;"Submitted","Not Submitted",IF(tblDocuments[[#This Row],[Verification Status]]="Verified","Verified",IF(tblDocuments[[#This Row],[Verification Status]]="Needs Resubmission","Needs Resubmission","Awaiting Verification")))</f>
        <v>Verified</v>
      </c>
      <c r="G29" s="5"/>
    </row>
    <row r="30" spans="1:7" x14ac:dyDescent="0.3">
      <c r="A30" s="5" t="s">
        <v>26</v>
      </c>
      <c r="B30" s="5" t="str">
        <f>IFERROR(INDEX(tblEmployees[Employee Name],MATCH(tblDocuments[[#This Row],[Employee ID]],tblEmployees[Employee ID],0)),"ID not found")</f>
        <v>Amey Joshi</v>
      </c>
      <c r="C30" s="5" t="s">
        <v>339</v>
      </c>
      <c r="D30" s="5" t="s">
        <v>340</v>
      </c>
      <c r="E30" s="5" t="s">
        <v>341</v>
      </c>
      <c r="F30" s="5" t="str">
        <f>IF(tblDocuments[[#This Row],[Submission Status]]&lt;&gt;"Submitted","Not Submitted",IF(tblDocuments[[#This Row],[Verification Status]]="Verified","Verified",IF(tblDocuments[[#This Row],[Verification Status]]="Needs Resubmission","Needs Resubmission","Awaiting Verification")))</f>
        <v>Verified</v>
      </c>
      <c r="G30" s="5"/>
    </row>
    <row r="31" spans="1:7" x14ac:dyDescent="0.3">
      <c r="A31" s="5" t="s">
        <v>26</v>
      </c>
      <c r="B31" s="5" t="str">
        <f>IFERROR(INDEX(tblEmployees[Employee Name],MATCH(tblDocuments[[#This Row],[Employee ID]],tblEmployees[Employee ID],0)),"ID not found")</f>
        <v>Amey Joshi</v>
      </c>
      <c r="C31" s="5" t="s">
        <v>342</v>
      </c>
      <c r="D31" s="5" t="s">
        <v>340</v>
      </c>
      <c r="E31" s="5" t="s">
        <v>344</v>
      </c>
      <c r="F31" s="5" t="str">
        <f>IF(tblDocuments[[#This Row],[Submission Status]]&lt;&gt;"Submitted","Not Submitted",IF(tblDocuments[[#This Row],[Verification Status]]="Verified","Verified",IF(tblDocuments[[#This Row],[Verification Status]]="Needs Resubmission","Needs Resubmission","Awaiting Verification")))</f>
        <v>Awaiting Verification</v>
      </c>
      <c r="G31" s="5"/>
    </row>
    <row r="32" spans="1:7" x14ac:dyDescent="0.3">
      <c r="A32" s="5" t="s">
        <v>26</v>
      </c>
      <c r="B32" s="5" t="str">
        <f>IFERROR(INDEX(tblEmployees[Employee Name],MATCH(tblDocuments[[#This Row],[Employee ID]],tblEmployees[Employee ID],0)),"ID not found")</f>
        <v>Amey Joshi</v>
      </c>
      <c r="C32" s="5" t="s">
        <v>343</v>
      </c>
      <c r="D32" s="5" t="s">
        <v>340</v>
      </c>
      <c r="E32" s="5" t="s">
        <v>341</v>
      </c>
      <c r="F32" s="5" t="str">
        <f>IF(tblDocuments[[#This Row],[Submission Status]]&lt;&gt;"Submitted","Not Submitted",IF(tblDocuments[[#This Row],[Verification Status]]="Verified","Verified",IF(tblDocuments[[#This Row],[Verification Status]]="Needs Resubmission","Needs Resubmission","Awaiting Verification")))</f>
        <v>Verified</v>
      </c>
      <c r="G32" s="5"/>
    </row>
    <row r="33" spans="1:7" x14ac:dyDescent="0.3">
      <c r="A33" s="5" t="s">
        <v>26</v>
      </c>
      <c r="B33" s="5" t="str">
        <f>IFERROR(INDEX(tblEmployees[Employee Name],MATCH(tblDocuments[[#This Row],[Employee ID]],tblEmployees[Employee ID],0)),"ID not found")</f>
        <v>Amey Joshi</v>
      </c>
      <c r="C33" s="5" t="s">
        <v>346</v>
      </c>
      <c r="D33" s="5" t="s">
        <v>340</v>
      </c>
      <c r="E33" s="5" t="s">
        <v>347</v>
      </c>
      <c r="F33" s="5" t="str">
        <f>IF(tblDocuments[[#This Row],[Submission Status]]&lt;&gt;"Submitted","Not Submitted",IF(tblDocuments[[#This Row],[Verification Status]]="Verified","Verified",IF(tblDocuments[[#This Row],[Verification Status]]="Needs Resubmission","Needs Resubmission","Awaiting Verification")))</f>
        <v>Needs Resubmission</v>
      </c>
      <c r="G33" s="5" t="s">
        <v>353</v>
      </c>
    </row>
    <row r="34" spans="1:7" x14ac:dyDescent="0.3">
      <c r="A34" s="5" t="s">
        <v>107</v>
      </c>
      <c r="B34" s="5" t="str">
        <f>IFERROR(INDEX(tblEmployees[Employee Name],MATCH(tblDocuments[[#This Row],[Employee ID]],tblEmployees[Employee ID],0)),"ID not found")</f>
        <v>Pranav Phadke</v>
      </c>
      <c r="C34" s="5" t="s">
        <v>339</v>
      </c>
      <c r="D34" s="5" t="s">
        <v>340</v>
      </c>
      <c r="E34" s="5" t="s">
        <v>341</v>
      </c>
      <c r="F34" s="5" t="str">
        <f>IF(tblDocuments[[#This Row],[Submission Status]]&lt;&gt;"Submitted","Not Submitted",IF(tblDocuments[[#This Row],[Verification Status]]="Verified","Verified",IF(tblDocuments[[#This Row],[Verification Status]]="Needs Resubmission","Needs Resubmission","Awaiting Verification")))</f>
        <v>Verified</v>
      </c>
      <c r="G34" s="5"/>
    </row>
    <row r="35" spans="1:7" x14ac:dyDescent="0.3">
      <c r="A35" s="5" t="s">
        <v>107</v>
      </c>
      <c r="B35" s="5" t="str">
        <f>IFERROR(INDEX(tblEmployees[Employee Name],MATCH(tblDocuments[[#This Row],[Employee ID]],tblEmployees[Employee ID],0)),"ID not found")</f>
        <v>Pranav Phadke</v>
      </c>
      <c r="C35" s="5" t="s">
        <v>342</v>
      </c>
      <c r="D35" s="5" t="s">
        <v>340</v>
      </c>
      <c r="E35" s="5" t="s">
        <v>341</v>
      </c>
      <c r="F35" s="5" t="str">
        <f>IF(tblDocuments[[#This Row],[Submission Status]]&lt;&gt;"Submitted","Not Submitted",IF(tblDocuments[[#This Row],[Verification Status]]="Verified","Verified",IF(tblDocuments[[#This Row],[Verification Status]]="Needs Resubmission","Needs Resubmission","Awaiting Verification")))</f>
        <v>Verified</v>
      </c>
      <c r="G35" s="5"/>
    </row>
    <row r="36" spans="1:7" x14ac:dyDescent="0.3">
      <c r="A36" s="5" t="s">
        <v>107</v>
      </c>
      <c r="B36" s="5" t="str">
        <f>IFERROR(INDEX(tblEmployees[Employee Name],MATCH(tblDocuments[[#This Row],[Employee ID]],tblEmployees[Employee ID],0)),"ID not found")</f>
        <v>Pranav Phadke</v>
      </c>
      <c r="C36" s="5" t="s">
        <v>343</v>
      </c>
      <c r="D36" s="5" t="s">
        <v>340</v>
      </c>
      <c r="E36" s="5" t="s">
        <v>344</v>
      </c>
      <c r="F36" s="5" t="str">
        <f>IF(tblDocuments[[#This Row],[Submission Status]]&lt;&gt;"Submitted","Not Submitted",IF(tblDocuments[[#This Row],[Verification Status]]="Verified","Verified",IF(tblDocuments[[#This Row],[Verification Status]]="Needs Resubmission","Needs Resubmission","Awaiting Verification")))</f>
        <v>Awaiting Verification</v>
      </c>
      <c r="G36" s="5"/>
    </row>
    <row r="37" spans="1:7" x14ac:dyDescent="0.3">
      <c r="A37" s="5" t="s">
        <v>107</v>
      </c>
      <c r="B37" s="5" t="str">
        <f>IFERROR(INDEX(tblEmployees[Employee Name],MATCH(tblDocuments[[#This Row],[Employee ID]],tblEmployees[Employee ID],0)),"ID not found")</f>
        <v>Pranav Phadke</v>
      </c>
      <c r="C37" s="5" t="s">
        <v>346</v>
      </c>
      <c r="D37" s="5" t="s">
        <v>340</v>
      </c>
      <c r="E37" s="5" t="s">
        <v>341</v>
      </c>
      <c r="F37" s="5" t="str">
        <f>IF(tblDocuments[[#This Row],[Submission Status]]&lt;&gt;"Submitted","Not Submitted",IF(tblDocuments[[#This Row],[Verification Status]]="Verified","Verified",IF(tblDocuments[[#This Row],[Verification Status]]="Needs Resubmission","Needs Resubmission","Awaiting Verification")))</f>
        <v>Verified</v>
      </c>
      <c r="G37" s="5"/>
    </row>
    <row r="38" spans="1:7" x14ac:dyDescent="0.3">
      <c r="A38" s="5" t="s">
        <v>130</v>
      </c>
      <c r="B38" s="5" t="str">
        <f>IFERROR(INDEX(tblEmployees[Employee Name],MATCH(tblDocuments[[#This Row],[Employee ID]],tblEmployees[Employee ID],0)),"ID not found")</f>
        <v>Shruti Bansal</v>
      </c>
      <c r="C38" s="5" t="s">
        <v>339</v>
      </c>
      <c r="D38" s="5" t="s">
        <v>340</v>
      </c>
      <c r="E38" s="5" t="s">
        <v>341</v>
      </c>
      <c r="F38" s="5" t="str">
        <f>IF(tblDocuments[[#This Row],[Submission Status]]&lt;&gt;"Submitted","Not Submitted",IF(tblDocuments[[#This Row],[Verification Status]]="Verified","Verified",IF(tblDocuments[[#This Row],[Verification Status]]="Needs Resubmission","Needs Resubmission","Awaiting Verification")))</f>
        <v>Verified</v>
      </c>
      <c r="G38" s="5"/>
    </row>
    <row r="39" spans="1:7" x14ac:dyDescent="0.3">
      <c r="A39" s="5" t="s">
        <v>130</v>
      </c>
      <c r="B39" s="5" t="str">
        <f>IFERROR(INDEX(tblEmployees[Employee Name],MATCH(tblDocuments[[#This Row],[Employee ID]],tblEmployees[Employee ID],0)),"ID not found")</f>
        <v>Shruti Bansal</v>
      </c>
      <c r="C39" s="5" t="s">
        <v>342</v>
      </c>
      <c r="D39" s="5" t="s">
        <v>340</v>
      </c>
      <c r="E39" s="5" t="s">
        <v>341</v>
      </c>
      <c r="F39" s="5" t="str">
        <f>IF(tblDocuments[[#This Row],[Submission Status]]&lt;&gt;"Submitted","Not Submitted",IF(tblDocuments[[#This Row],[Verification Status]]="Verified","Verified",IF(tblDocuments[[#This Row],[Verification Status]]="Needs Resubmission","Needs Resubmission","Awaiting Verification")))</f>
        <v>Verified</v>
      </c>
      <c r="G39" s="5"/>
    </row>
    <row r="40" spans="1:7" x14ac:dyDescent="0.3">
      <c r="A40" s="5" t="s">
        <v>130</v>
      </c>
      <c r="B40" s="5" t="str">
        <f>IFERROR(INDEX(tblEmployees[Employee Name],MATCH(tblDocuments[[#This Row],[Employee ID]],tblEmployees[Employee ID],0)),"ID not found")</f>
        <v>Shruti Bansal</v>
      </c>
      <c r="C40" s="5" t="s">
        <v>343</v>
      </c>
      <c r="D40" s="5" t="s">
        <v>340</v>
      </c>
      <c r="E40" s="5" t="s">
        <v>344</v>
      </c>
      <c r="F40" s="5" t="str">
        <f>IF(tblDocuments[[#This Row],[Submission Status]]&lt;&gt;"Submitted","Not Submitted",IF(tblDocuments[[#This Row],[Verification Status]]="Verified","Verified",IF(tblDocuments[[#This Row],[Verification Status]]="Needs Resubmission","Needs Resubmission","Awaiting Verification")))</f>
        <v>Awaiting Verification</v>
      </c>
      <c r="G40" s="5"/>
    </row>
    <row r="41" spans="1:7" x14ac:dyDescent="0.3">
      <c r="A41" s="5" t="s">
        <v>130</v>
      </c>
      <c r="B41" s="5" t="str">
        <f>IFERROR(INDEX(tblEmployees[Employee Name],MATCH(tblDocuments[[#This Row],[Employee ID]],tblEmployees[Employee ID],0)),"ID not found")</f>
        <v>Shruti Bansal</v>
      </c>
      <c r="C41" s="5" t="s">
        <v>346</v>
      </c>
      <c r="D41" s="5" t="s">
        <v>349</v>
      </c>
      <c r="E41" s="5" t="s">
        <v>344</v>
      </c>
      <c r="F41" s="5" t="str">
        <f>IF(tblDocuments[[#This Row],[Submission Status]]&lt;&gt;"Submitted","Not Submitted",IF(tblDocuments[[#This Row],[Verification Status]]="Verified","Verified",IF(tblDocuments[[#This Row],[Verification Status]]="Needs Resubmission","Needs Resubmission","Awaiting Verification")))</f>
        <v>Not Submitted</v>
      </c>
      <c r="G41" s="5" t="s">
        <v>350</v>
      </c>
    </row>
    <row r="42" spans="1:7" x14ac:dyDescent="0.3">
      <c r="A42" s="5" t="s">
        <v>121</v>
      </c>
      <c r="B42" s="5" t="str">
        <f>IFERROR(INDEX(tblEmployees[Employee Name],MATCH(tblDocuments[[#This Row],[Employee ID]],tblEmployees[Employee ID],0)),"ID not found")</f>
        <v>Rutuja Sawant</v>
      </c>
      <c r="C42" s="5" t="s">
        <v>339</v>
      </c>
      <c r="D42" s="5" t="s">
        <v>340</v>
      </c>
      <c r="E42" s="5" t="s">
        <v>341</v>
      </c>
      <c r="F42" s="5" t="str">
        <f>IF(tblDocuments[[#This Row],[Submission Status]]&lt;&gt;"Submitted","Not Submitted",IF(tblDocuments[[#This Row],[Verification Status]]="Verified","Verified",IF(tblDocuments[[#This Row],[Verification Status]]="Needs Resubmission","Needs Resubmission","Awaiting Verification")))</f>
        <v>Verified</v>
      </c>
      <c r="G42" s="5"/>
    </row>
    <row r="43" spans="1:7" x14ac:dyDescent="0.3">
      <c r="A43" s="5" t="s">
        <v>121</v>
      </c>
      <c r="B43" s="5" t="str">
        <f>IFERROR(INDEX(tblEmployees[Employee Name],MATCH(tblDocuments[[#This Row],[Employee ID]],tblEmployees[Employee ID],0)),"ID not found")</f>
        <v>Rutuja Sawant</v>
      </c>
      <c r="C43" s="5" t="s">
        <v>342</v>
      </c>
      <c r="D43" s="5" t="s">
        <v>340</v>
      </c>
      <c r="E43" s="5" t="s">
        <v>341</v>
      </c>
      <c r="F43" s="5" t="str">
        <f>IF(tblDocuments[[#This Row],[Submission Status]]&lt;&gt;"Submitted","Not Submitted",IF(tblDocuments[[#This Row],[Verification Status]]="Verified","Verified",IF(tblDocuments[[#This Row],[Verification Status]]="Needs Resubmission","Needs Resubmission","Awaiting Verification")))</f>
        <v>Verified</v>
      </c>
      <c r="G43" s="5"/>
    </row>
    <row r="44" spans="1:7" x14ac:dyDescent="0.3">
      <c r="A44" s="5" t="s">
        <v>121</v>
      </c>
      <c r="B44" s="5" t="str">
        <f>IFERROR(INDEX(tblEmployees[Employee Name],MATCH(tblDocuments[[#This Row],[Employee ID]],tblEmployees[Employee ID],0)),"ID not found")</f>
        <v>Rutuja Sawant</v>
      </c>
      <c r="C44" s="5" t="s">
        <v>343</v>
      </c>
      <c r="D44" s="5" t="s">
        <v>349</v>
      </c>
      <c r="E44" s="5" t="s">
        <v>344</v>
      </c>
      <c r="F44" s="5" t="str">
        <f>IF(tblDocuments[[#This Row],[Submission Status]]&lt;&gt;"Submitted","Not Submitted",IF(tblDocuments[[#This Row],[Verification Status]]="Verified","Verified",IF(tblDocuments[[#This Row],[Verification Status]]="Needs Resubmission","Needs Resubmission","Awaiting Verification")))</f>
        <v>Not Submitted</v>
      </c>
      <c r="G44" s="5"/>
    </row>
    <row r="45" spans="1:7" x14ac:dyDescent="0.3">
      <c r="A45" s="5" t="s">
        <v>121</v>
      </c>
      <c r="B45" s="5" t="str">
        <f>IFERROR(INDEX(tblEmployees[Employee Name],MATCH(tblDocuments[[#This Row],[Employee ID]],tblEmployees[Employee ID],0)),"ID not found")</f>
        <v>Rutuja Sawant</v>
      </c>
      <c r="C45" s="5" t="s">
        <v>346</v>
      </c>
      <c r="D45" s="5" t="s">
        <v>340</v>
      </c>
      <c r="E45" s="5" t="s">
        <v>341</v>
      </c>
      <c r="F45" s="5" t="str">
        <f>IF(tblDocuments[[#This Row],[Submission Status]]&lt;&gt;"Submitted","Not Submitted",IF(tblDocuments[[#This Row],[Verification Status]]="Verified","Verified",IF(tblDocuments[[#This Row],[Verification Status]]="Needs Resubmission","Needs Resubmission","Awaiting Verification")))</f>
        <v>Verified</v>
      </c>
      <c r="G45" s="5"/>
    </row>
    <row r="46" spans="1:7" x14ac:dyDescent="0.3">
      <c r="A46" s="5" t="s">
        <v>110</v>
      </c>
      <c r="B46" s="5" t="str">
        <f>IFERROR(INDEX(tblEmployees[Employee Name],MATCH(tblDocuments[[#This Row],[Employee ID]],tblEmployees[Employee ID],0)),"ID not found")</f>
        <v>Pratik Iyer</v>
      </c>
      <c r="C46" s="5" t="s">
        <v>339</v>
      </c>
      <c r="D46" s="5" t="s">
        <v>340</v>
      </c>
      <c r="E46" s="5" t="s">
        <v>341</v>
      </c>
      <c r="F46" s="5" t="str">
        <f>IF(tblDocuments[[#This Row],[Submission Status]]&lt;&gt;"Submitted","Not Submitted",IF(tblDocuments[[#This Row],[Verification Status]]="Verified","Verified",IF(tblDocuments[[#This Row],[Verification Status]]="Needs Resubmission","Needs Resubmission","Awaiting Verification")))</f>
        <v>Verified</v>
      </c>
      <c r="G46" s="5"/>
    </row>
    <row r="47" spans="1:7" x14ac:dyDescent="0.3">
      <c r="A47" s="5" t="s">
        <v>110</v>
      </c>
      <c r="B47" s="5" t="str">
        <f>IFERROR(INDEX(tblEmployees[Employee Name],MATCH(tblDocuments[[#This Row],[Employee ID]],tblEmployees[Employee ID],0)),"ID not found")</f>
        <v>Pratik Iyer</v>
      </c>
      <c r="C47" s="5" t="s">
        <v>342</v>
      </c>
      <c r="D47" s="5" t="s">
        <v>340</v>
      </c>
      <c r="E47" s="5" t="s">
        <v>341</v>
      </c>
      <c r="F47" s="5" t="str">
        <f>IF(tblDocuments[[#This Row],[Submission Status]]&lt;&gt;"Submitted","Not Submitted",IF(tblDocuments[[#This Row],[Verification Status]]="Verified","Verified",IF(tblDocuments[[#This Row],[Verification Status]]="Needs Resubmission","Needs Resubmission","Awaiting Verification")))</f>
        <v>Verified</v>
      </c>
      <c r="G47" s="5"/>
    </row>
    <row r="48" spans="1:7" x14ac:dyDescent="0.3">
      <c r="A48" s="5" t="s">
        <v>110</v>
      </c>
      <c r="B48" s="5" t="str">
        <f>IFERROR(INDEX(tblEmployees[Employee Name],MATCH(tblDocuments[[#This Row],[Employee ID]],tblEmployees[Employee ID],0)),"ID not found")</f>
        <v>Pratik Iyer</v>
      </c>
      <c r="C48" s="5" t="s">
        <v>343</v>
      </c>
      <c r="D48" s="5" t="s">
        <v>340</v>
      </c>
      <c r="E48" s="5" t="s">
        <v>344</v>
      </c>
      <c r="F48" s="5" t="str">
        <f>IF(tblDocuments[[#This Row],[Submission Status]]&lt;&gt;"Submitted","Not Submitted",IF(tblDocuments[[#This Row],[Verification Status]]="Verified","Verified",IF(tblDocuments[[#This Row],[Verification Status]]="Needs Resubmission","Needs Resubmission","Awaiting Verification")))</f>
        <v>Awaiting Verification</v>
      </c>
      <c r="G48" s="5" t="s">
        <v>345</v>
      </c>
    </row>
    <row r="49" spans="1:7" x14ac:dyDescent="0.3">
      <c r="A49" s="5" t="s">
        <v>110</v>
      </c>
      <c r="B49" s="5" t="str">
        <f>IFERROR(INDEX(tblEmployees[Employee Name],MATCH(tblDocuments[[#This Row],[Employee ID]],tblEmployees[Employee ID],0)),"ID not found")</f>
        <v>Pratik Iyer</v>
      </c>
      <c r="C49" s="5" t="s">
        <v>346</v>
      </c>
      <c r="D49" s="5" t="s">
        <v>340</v>
      </c>
      <c r="E49" s="5" t="s">
        <v>341</v>
      </c>
      <c r="F49" s="5" t="str">
        <f>IF(tblDocuments[[#This Row],[Submission Status]]&lt;&gt;"Submitted","Not Submitted",IF(tblDocuments[[#This Row],[Verification Status]]="Verified","Verified",IF(tblDocuments[[#This Row],[Verification Status]]="Needs Resubmission","Needs Resubmission","Awaiting Verification")))</f>
        <v>Verified</v>
      </c>
      <c r="G49" s="5"/>
    </row>
    <row r="50" spans="1:7" x14ac:dyDescent="0.3">
      <c r="A50" s="5" t="s">
        <v>71</v>
      </c>
      <c r="B50" s="5" t="str">
        <f>IFERROR(INDEX(tblEmployees[Employee Name],MATCH(tblDocuments[[#This Row],[Employee ID]],tblEmployees[Employee ID],0)),"ID not found")</f>
        <v>Kavya Pawar</v>
      </c>
      <c r="C50" s="5" t="s">
        <v>339</v>
      </c>
      <c r="D50" s="5" t="s">
        <v>340</v>
      </c>
      <c r="E50" s="5" t="s">
        <v>341</v>
      </c>
      <c r="F50" s="5" t="str">
        <f>IF(tblDocuments[[#This Row],[Submission Status]]&lt;&gt;"Submitted","Not Submitted",IF(tblDocuments[[#This Row],[Verification Status]]="Verified","Verified",IF(tblDocuments[[#This Row],[Verification Status]]="Needs Resubmission","Needs Resubmission","Awaiting Verification")))</f>
        <v>Verified</v>
      </c>
      <c r="G50" s="5"/>
    </row>
    <row r="51" spans="1:7" x14ac:dyDescent="0.3">
      <c r="A51" s="5" t="s">
        <v>71</v>
      </c>
      <c r="B51" s="5" t="str">
        <f>IFERROR(INDEX(tblEmployees[Employee Name],MATCH(tblDocuments[[#This Row],[Employee ID]],tblEmployees[Employee ID],0)),"ID not found")</f>
        <v>Kavya Pawar</v>
      </c>
      <c r="C51" s="5" t="s">
        <v>342</v>
      </c>
      <c r="D51" s="5" t="s">
        <v>349</v>
      </c>
      <c r="E51" s="5" t="s">
        <v>344</v>
      </c>
      <c r="F51" s="5" t="str">
        <f>IF(tblDocuments[[#This Row],[Submission Status]]&lt;&gt;"Submitted","Not Submitted",IF(tblDocuments[[#This Row],[Verification Status]]="Verified","Verified",IF(tblDocuments[[#This Row],[Verification Status]]="Needs Resubmission","Needs Resubmission","Awaiting Verification")))</f>
        <v>Not Submitted</v>
      </c>
      <c r="G51" s="5" t="s">
        <v>351</v>
      </c>
    </row>
    <row r="52" spans="1:7" x14ac:dyDescent="0.3">
      <c r="A52" s="5" t="s">
        <v>71</v>
      </c>
      <c r="B52" s="5" t="str">
        <f>IFERROR(INDEX(tblEmployees[Employee Name],MATCH(tblDocuments[[#This Row],[Employee ID]],tblEmployees[Employee ID],0)),"ID not found")</f>
        <v>Kavya Pawar</v>
      </c>
      <c r="C52" s="5" t="s">
        <v>343</v>
      </c>
      <c r="D52" s="5" t="s">
        <v>340</v>
      </c>
      <c r="E52" s="5" t="s">
        <v>344</v>
      </c>
      <c r="F52" s="5" t="str">
        <f>IF(tblDocuments[[#This Row],[Submission Status]]&lt;&gt;"Submitted","Not Submitted",IF(tblDocuments[[#This Row],[Verification Status]]="Verified","Verified",IF(tblDocuments[[#This Row],[Verification Status]]="Needs Resubmission","Needs Resubmission","Awaiting Verification")))</f>
        <v>Awaiting Verification</v>
      </c>
      <c r="G52" s="5" t="s">
        <v>345</v>
      </c>
    </row>
    <row r="53" spans="1:7" x14ac:dyDescent="0.3">
      <c r="A53" s="5" t="s">
        <v>71</v>
      </c>
      <c r="B53" s="5" t="str">
        <f>IFERROR(INDEX(tblEmployees[Employee Name],MATCH(tblDocuments[[#This Row],[Employee ID]],tblEmployees[Employee ID],0)),"ID not found")</f>
        <v>Kavya Pawar</v>
      </c>
      <c r="C53" s="5" t="s">
        <v>346</v>
      </c>
      <c r="D53" s="5" t="s">
        <v>340</v>
      </c>
      <c r="E53" s="5" t="s">
        <v>341</v>
      </c>
      <c r="F53" s="5" t="str">
        <f>IF(tblDocuments[[#This Row],[Submission Status]]&lt;&gt;"Submitted","Not Submitted",IF(tblDocuments[[#This Row],[Verification Status]]="Verified","Verified",IF(tblDocuments[[#This Row],[Verification Status]]="Needs Resubmission","Needs Resubmission","Awaiting Verification")))</f>
        <v>Verified</v>
      </c>
      <c r="G53" s="5"/>
    </row>
    <row r="54" spans="1:7" x14ac:dyDescent="0.3">
      <c r="A54" s="5" t="s">
        <v>151</v>
      </c>
      <c r="B54" s="5" t="str">
        <f>IFERROR(INDEX(tblEmployees[Employee Name],MATCH(tblDocuments[[#This Row],[Employee ID]],tblEmployees[Employee ID],0)),"ID not found")</f>
        <v>Varun Salunkhe</v>
      </c>
      <c r="C54" s="5" t="s">
        <v>339</v>
      </c>
      <c r="D54" s="5" t="s">
        <v>340</v>
      </c>
      <c r="E54" s="5" t="s">
        <v>344</v>
      </c>
      <c r="F54" s="5" t="str">
        <f>IF(tblDocuments[[#This Row],[Submission Status]]&lt;&gt;"Submitted","Not Submitted",IF(tblDocuments[[#This Row],[Verification Status]]="Verified","Verified",IF(tblDocuments[[#This Row],[Verification Status]]="Needs Resubmission","Needs Resubmission","Awaiting Verification")))</f>
        <v>Awaiting Verification</v>
      </c>
      <c r="G54" s="5"/>
    </row>
    <row r="55" spans="1:7" x14ac:dyDescent="0.3">
      <c r="A55" s="5" t="s">
        <v>151</v>
      </c>
      <c r="B55" s="5" t="str">
        <f>IFERROR(INDEX(tblEmployees[Employee Name],MATCH(tblDocuments[[#This Row],[Employee ID]],tblEmployees[Employee ID],0)),"ID not found")</f>
        <v>Varun Salunkhe</v>
      </c>
      <c r="C55" s="5" t="s">
        <v>342</v>
      </c>
      <c r="D55" s="5" t="s">
        <v>340</v>
      </c>
      <c r="E55" s="5" t="s">
        <v>344</v>
      </c>
      <c r="F55" s="5" t="str">
        <f>IF(tblDocuments[[#This Row],[Submission Status]]&lt;&gt;"Submitted","Not Submitted",IF(tblDocuments[[#This Row],[Verification Status]]="Verified","Verified",IF(tblDocuments[[#This Row],[Verification Status]]="Needs Resubmission","Needs Resubmission","Awaiting Verification")))</f>
        <v>Awaiting Verification</v>
      </c>
      <c r="G55" s="5"/>
    </row>
    <row r="56" spans="1:7" x14ac:dyDescent="0.3">
      <c r="A56" s="5" t="s">
        <v>151</v>
      </c>
      <c r="B56" s="5" t="str">
        <f>IFERROR(INDEX(tblEmployees[Employee Name],MATCH(tblDocuments[[#This Row],[Employee ID]],tblEmployees[Employee ID],0)),"ID not found")</f>
        <v>Varun Salunkhe</v>
      </c>
      <c r="C56" s="5" t="s">
        <v>343</v>
      </c>
      <c r="D56" s="5" t="s">
        <v>340</v>
      </c>
      <c r="E56" s="5" t="s">
        <v>344</v>
      </c>
      <c r="F56" s="5" t="str">
        <f>IF(tblDocuments[[#This Row],[Submission Status]]&lt;&gt;"Submitted","Not Submitted",IF(tblDocuments[[#This Row],[Verification Status]]="Verified","Verified",IF(tblDocuments[[#This Row],[Verification Status]]="Needs Resubmission","Needs Resubmission","Awaiting Verification")))</f>
        <v>Awaiting Verification</v>
      </c>
      <c r="G56" s="5"/>
    </row>
    <row r="57" spans="1:7" x14ac:dyDescent="0.3">
      <c r="A57" s="5" t="s">
        <v>151</v>
      </c>
      <c r="B57" s="5" t="str">
        <f>IFERROR(INDEX(tblEmployees[Employee Name],MATCH(tblDocuments[[#This Row],[Employee ID]],tblEmployees[Employee ID],0)),"ID not found")</f>
        <v>Varun Salunkhe</v>
      </c>
      <c r="C57" s="5" t="s">
        <v>346</v>
      </c>
      <c r="D57" s="5" t="s">
        <v>340</v>
      </c>
      <c r="E57" s="5" t="s">
        <v>347</v>
      </c>
      <c r="F57" s="5" t="str">
        <f>IF(tblDocuments[[#This Row],[Submission Status]]&lt;&gt;"Submitted","Not Submitted",IF(tblDocuments[[#This Row],[Verification Status]]="Verified","Verified",IF(tblDocuments[[#This Row],[Verification Status]]="Needs Resubmission","Needs Resubmission","Awaiting Verification")))</f>
        <v>Needs Resubmission</v>
      </c>
      <c r="G57" s="5" t="s">
        <v>353</v>
      </c>
    </row>
    <row r="58" spans="1:7" x14ac:dyDescent="0.3">
      <c r="A58" s="5" t="s">
        <v>15</v>
      </c>
      <c r="B58" s="5" t="str">
        <f>IFERROR(INDEX(tblEmployees[Employee Name],MATCH(tblDocuments[[#This Row],[Employee ID]],tblEmployees[Employee ID],0)),"ID not found")</f>
        <v>Ajinkya Jadhav</v>
      </c>
      <c r="C58" s="5" t="s">
        <v>339</v>
      </c>
      <c r="D58" s="5" t="s">
        <v>340</v>
      </c>
      <c r="E58" s="5" t="s">
        <v>344</v>
      </c>
      <c r="F58" s="5" t="str">
        <f>IF(tblDocuments[[#This Row],[Submission Status]]&lt;&gt;"Submitted","Not Submitted",IF(tblDocuments[[#This Row],[Verification Status]]="Verified","Verified",IF(tblDocuments[[#This Row],[Verification Status]]="Needs Resubmission","Needs Resubmission","Awaiting Verification")))</f>
        <v>Awaiting Verification</v>
      </c>
      <c r="G58" s="5"/>
    </row>
    <row r="59" spans="1:7" x14ac:dyDescent="0.3">
      <c r="A59" s="5" t="s">
        <v>15</v>
      </c>
      <c r="B59" s="5" t="str">
        <f>IFERROR(INDEX(tblEmployees[Employee Name],MATCH(tblDocuments[[#This Row],[Employee ID]],tblEmployees[Employee ID],0)),"ID not found")</f>
        <v>Ajinkya Jadhav</v>
      </c>
      <c r="C59" s="5" t="s">
        <v>342</v>
      </c>
      <c r="D59" s="5" t="s">
        <v>340</v>
      </c>
      <c r="E59" s="5" t="s">
        <v>344</v>
      </c>
      <c r="F59" s="5" t="str">
        <f>IF(tblDocuments[[#This Row],[Submission Status]]&lt;&gt;"Submitted","Not Submitted",IF(tblDocuments[[#This Row],[Verification Status]]="Verified","Verified",IF(tblDocuments[[#This Row],[Verification Status]]="Needs Resubmission","Needs Resubmission","Awaiting Verification")))</f>
        <v>Awaiting Verification</v>
      </c>
      <c r="G59" s="5"/>
    </row>
    <row r="60" spans="1:7" x14ac:dyDescent="0.3">
      <c r="A60" s="5" t="s">
        <v>15</v>
      </c>
      <c r="B60" s="5" t="str">
        <f>IFERROR(INDEX(tblEmployees[Employee Name],MATCH(tblDocuments[[#This Row],[Employee ID]],tblEmployees[Employee ID],0)),"ID not found")</f>
        <v>Ajinkya Jadhav</v>
      </c>
      <c r="C60" s="5" t="s">
        <v>343</v>
      </c>
      <c r="D60" s="5" t="s">
        <v>349</v>
      </c>
      <c r="E60" s="5" t="s">
        <v>344</v>
      </c>
      <c r="F60" s="5" t="str">
        <f>IF(tblDocuments[[#This Row],[Submission Status]]&lt;&gt;"Submitted","Not Submitted",IF(tblDocuments[[#This Row],[Verification Status]]="Verified","Verified",IF(tblDocuments[[#This Row],[Verification Status]]="Needs Resubmission","Needs Resubmission","Awaiting Verification")))</f>
        <v>Not Submitted</v>
      </c>
      <c r="G60" s="5"/>
    </row>
    <row r="61" spans="1:7" x14ac:dyDescent="0.3">
      <c r="A61" s="5" t="s">
        <v>15</v>
      </c>
      <c r="B61" s="5" t="str">
        <f>IFERROR(INDEX(tblEmployees[Employee Name],MATCH(tblDocuments[[#This Row],[Employee ID]],tblEmployees[Employee ID],0)),"ID not found")</f>
        <v>Ajinkya Jadhav</v>
      </c>
      <c r="C61" s="5" t="s">
        <v>346</v>
      </c>
      <c r="D61" s="5" t="s">
        <v>349</v>
      </c>
      <c r="E61" s="5" t="s">
        <v>344</v>
      </c>
      <c r="F61" s="5" t="str">
        <f>IF(tblDocuments[[#This Row],[Submission Status]]&lt;&gt;"Submitted","Not Submitted",IF(tblDocuments[[#This Row],[Verification Status]]="Verified","Verified",IF(tblDocuments[[#This Row],[Verification Status]]="Needs Resubmission","Needs Resubmission","Awaiting Verification")))</f>
        <v>Not Submitted</v>
      </c>
      <c r="G61" s="5"/>
    </row>
    <row r="62" spans="1:7" x14ac:dyDescent="0.3">
      <c r="A62" s="5" t="s">
        <v>96</v>
      </c>
      <c r="B62" s="5" t="str">
        <f>IFERROR(INDEX(tblEmployees[Employee Name],MATCH(tblDocuments[[#This Row],[Employee ID]],tblEmployees[Employee ID],0)),"ID not found")</f>
        <v>Nikhil More</v>
      </c>
      <c r="C62" s="5" t="s">
        <v>339</v>
      </c>
      <c r="D62" s="5" t="s">
        <v>349</v>
      </c>
      <c r="E62" s="5" t="s">
        <v>344</v>
      </c>
      <c r="F62" s="5" t="str">
        <f>IF(tblDocuments[[#This Row],[Submission Status]]&lt;&gt;"Submitted","Not Submitted",IF(tblDocuments[[#This Row],[Verification Status]]="Verified","Verified",IF(tblDocuments[[#This Row],[Verification Status]]="Needs Resubmission","Needs Resubmission","Awaiting Verification")))</f>
        <v>Not Submitted</v>
      </c>
      <c r="G62" s="5" t="s">
        <v>354</v>
      </c>
    </row>
    <row r="63" spans="1:7" x14ac:dyDescent="0.3">
      <c r="A63" s="5" t="s">
        <v>96</v>
      </c>
      <c r="B63" s="5" t="str">
        <f>IFERROR(INDEX(tblEmployees[Employee Name],MATCH(tblDocuments[[#This Row],[Employee ID]],tblEmployees[Employee ID],0)),"ID not found")</f>
        <v>Nikhil More</v>
      </c>
      <c r="C63" s="5" t="s">
        <v>342</v>
      </c>
      <c r="D63" s="5" t="s">
        <v>340</v>
      </c>
      <c r="E63" s="5" t="s">
        <v>344</v>
      </c>
      <c r="F63" s="5" t="str">
        <f>IF(tblDocuments[[#This Row],[Submission Status]]&lt;&gt;"Submitted","Not Submitted",IF(tblDocuments[[#This Row],[Verification Status]]="Verified","Verified",IF(tblDocuments[[#This Row],[Verification Status]]="Needs Resubmission","Needs Resubmission","Awaiting Verification")))</f>
        <v>Awaiting Verification</v>
      </c>
      <c r="G63" s="5"/>
    </row>
    <row r="64" spans="1:7" x14ac:dyDescent="0.3">
      <c r="A64" s="5" t="s">
        <v>96</v>
      </c>
      <c r="B64" s="5" t="str">
        <f>IFERROR(INDEX(tblEmployees[Employee Name],MATCH(tblDocuments[[#This Row],[Employee ID]],tblEmployees[Employee ID],0)),"ID not found")</f>
        <v>Nikhil More</v>
      </c>
      <c r="C64" s="5" t="s">
        <v>343</v>
      </c>
      <c r="D64" s="5" t="s">
        <v>340</v>
      </c>
      <c r="E64" s="5" t="s">
        <v>344</v>
      </c>
      <c r="F64" s="5" t="str">
        <f>IF(tblDocuments[[#This Row],[Submission Status]]&lt;&gt;"Submitted","Not Submitted",IF(tblDocuments[[#This Row],[Verification Status]]="Verified","Verified",IF(tblDocuments[[#This Row],[Verification Status]]="Needs Resubmission","Needs Resubmission","Awaiting Verification")))</f>
        <v>Awaiting Verification</v>
      </c>
      <c r="G64" s="5" t="s">
        <v>345</v>
      </c>
    </row>
    <row r="65" spans="1:7" x14ac:dyDescent="0.3">
      <c r="A65" s="5" t="s">
        <v>96</v>
      </c>
      <c r="B65" s="5" t="str">
        <f>IFERROR(INDEX(tblEmployees[Employee Name],MATCH(tblDocuments[[#This Row],[Employee ID]],tblEmployees[Employee ID],0)),"ID not found")</f>
        <v>Nikhil More</v>
      </c>
      <c r="C65" s="5" t="s">
        <v>346</v>
      </c>
      <c r="D65" s="5" t="s">
        <v>349</v>
      </c>
      <c r="E65" s="5" t="s">
        <v>344</v>
      </c>
      <c r="F65" s="5" t="str">
        <f>IF(tblDocuments[[#This Row],[Submission Status]]&lt;&gt;"Submitted","Not Submitted",IF(tblDocuments[[#This Row],[Verification Status]]="Verified","Verified",IF(tblDocuments[[#This Row],[Verification Status]]="Needs Resubmission","Needs Resubmission","Awaiting Verification")))</f>
        <v>Not Submitted</v>
      </c>
      <c r="G65" s="5"/>
    </row>
    <row r="66" spans="1:7" x14ac:dyDescent="0.3">
      <c r="A66" s="5" t="s">
        <v>51</v>
      </c>
      <c r="B66" s="5" t="str">
        <f>IFERROR(INDEX(tblEmployees[Employee Name],MATCH(tblDocuments[[#This Row],[Employee ID]],tblEmployees[Employee ID],0)),"ID not found")</f>
        <v>Dipti Mane</v>
      </c>
      <c r="C66" s="5" t="s">
        <v>339</v>
      </c>
      <c r="D66" s="5" t="s">
        <v>340</v>
      </c>
      <c r="E66" s="5" t="s">
        <v>344</v>
      </c>
      <c r="F66" s="5" t="str">
        <f>IF(tblDocuments[[#This Row],[Submission Status]]&lt;&gt;"Submitted","Not Submitted",IF(tblDocuments[[#This Row],[Verification Status]]="Verified","Verified",IF(tblDocuments[[#This Row],[Verification Status]]="Needs Resubmission","Needs Resubmission","Awaiting Verification")))</f>
        <v>Awaiting Verification</v>
      </c>
      <c r="G66" s="5"/>
    </row>
    <row r="67" spans="1:7" x14ac:dyDescent="0.3">
      <c r="A67" s="5" t="s">
        <v>51</v>
      </c>
      <c r="B67" s="5" t="str">
        <f>IFERROR(INDEX(tblEmployees[Employee Name],MATCH(tblDocuments[[#This Row],[Employee ID]],tblEmployees[Employee ID],0)),"ID not found")</f>
        <v>Dipti Mane</v>
      </c>
      <c r="C67" s="5" t="s">
        <v>342</v>
      </c>
      <c r="D67" s="5" t="s">
        <v>340</v>
      </c>
      <c r="E67" s="5" t="s">
        <v>344</v>
      </c>
      <c r="F67" s="5" t="str">
        <f>IF(tblDocuments[[#This Row],[Submission Status]]&lt;&gt;"Submitted","Not Submitted",IF(tblDocuments[[#This Row],[Verification Status]]="Verified","Verified",IF(tblDocuments[[#This Row],[Verification Status]]="Needs Resubmission","Needs Resubmission","Awaiting Verification")))</f>
        <v>Awaiting Verification</v>
      </c>
      <c r="G67" s="5"/>
    </row>
    <row r="68" spans="1:7" x14ac:dyDescent="0.3">
      <c r="A68" s="5" t="s">
        <v>51</v>
      </c>
      <c r="B68" s="5" t="str">
        <f>IFERROR(INDEX(tblEmployees[Employee Name],MATCH(tblDocuments[[#This Row],[Employee ID]],tblEmployees[Employee ID],0)),"ID not found")</f>
        <v>Dipti Mane</v>
      </c>
      <c r="C68" s="5" t="s">
        <v>343</v>
      </c>
      <c r="D68" s="5" t="s">
        <v>340</v>
      </c>
      <c r="E68" s="5" t="s">
        <v>344</v>
      </c>
      <c r="F68" s="5" t="str">
        <f>IF(tblDocuments[[#This Row],[Submission Status]]&lt;&gt;"Submitted","Not Submitted",IF(tblDocuments[[#This Row],[Verification Status]]="Verified","Verified",IF(tblDocuments[[#This Row],[Verification Status]]="Needs Resubmission","Needs Resubmission","Awaiting Verification")))</f>
        <v>Awaiting Verification</v>
      </c>
      <c r="G68" s="5" t="s">
        <v>345</v>
      </c>
    </row>
    <row r="69" spans="1:7" x14ac:dyDescent="0.3">
      <c r="A69" s="5" t="s">
        <v>51</v>
      </c>
      <c r="B69" s="5" t="str">
        <f>IFERROR(INDEX(tblEmployees[Employee Name],MATCH(tblDocuments[[#This Row],[Employee ID]],tblEmployees[Employee ID],0)),"ID not found")</f>
        <v>Dipti Mane</v>
      </c>
      <c r="C69" s="5" t="s">
        <v>346</v>
      </c>
      <c r="D69" s="5" t="s">
        <v>340</v>
      </c>
      <c r="E69" s="5" t="s">
        <v>347</v>
      </c>
      <c r="F69" s="5" t="str">
        <f>IF(tblDocuments[[#This Row],[Submission Status]]&lt;&gt;"Submitted","Not Submitted",IF(tblDocuments[[#This Row],[Verification Status]]="Verified","Verified",IF(tblDocuments[[#This Row],[Verification Status]]="Needs Resubmission","Needs Resubmission","Awaiting Verification")))</f>
        <v>Needs Resubmission</v>
      </c>
      <c r="G69" s="5" t="s">
        <v>353</v>
      </c>
    </row>
  </sheetData>
  <conditionalFormatting sqref="D2:D300">
    <cfRule type="cellIs" dxfId="12" priority="2" operator="equal">
      <formula>"Not Submitted"</formula>
    </cfRule>
  </conditionalFormatting>
  <conditionalFormatting sqref="E2:E300">
    <cfRule type="cellIs" dxfId="11" priority="3" operator="equal">
      <formula>"Needs Resubmission"</formula>
    </cfRule>
  </conditionalFormatting>
  <conditionalFormatting sqref="F2:F300">
    <cfRule type="expression" dxfId="10" priority="4">
      <formula>$F2="Not Submitted"</formula>
    </cfRule>
    <cfRule type="expression" dxfId="9" priority="5">
      <formula>$F2="Needs Resubmission"</formula>
    </cfRule>
    <cfRule type="expression" dxfId="8" priority="6">
      <formula>$F2="Awaiting Verification"</formula>
    </cfRule>
    <cfRule type="expression" dxfId="7" priority="7">
      <formula>$F2="Verified"</formula>
    </cfRule>
  </conditionalFormatting>
  <dataValidations count="4">
    <dataValidation type="list" allowBlank="1" showErrorMessage="1" errorTitle="Employee ID" error="Employee ID must exist in the Employee Master." sqref="A2:A300">
      <formula1>EmployeeIDs</formula1>
      <formula2>0</formula2>
    </dataValidation>
    <dataValidation type="list" allowBlank="1" showErrorMessage="1" errorTitle="Document Type" error="Pick a document type." sqref="C2:C300">
      <formula1>lstDocType</formula1>
      <formula2>0</formula2>
    </dataValidation>
    <dataValidation type="list" allowBlank="1" showErrorMessage="1" errorTitle="Submission Status" error="Submitted or Not Submitted." sqref="D2:D300">
      <formula1>lstSubmission</formula1>
      <formula2>0</formula2>
    </dataValidation>
    <dataValidation type="list" allowBlank="1" showErrorMessage="1" errorTitle="Verification Status" error="Not Verified, Verified or Needs Resubmission." sqref="E2:E300">
      <formula1>lstVerification</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55"/>
  <sheetViews>
    <sheetView showGridLines="0" tabSelected="1" zoomScaleNormal="100" workbookViewId="0">
      <pane ySplit="5" topLeftCell="A6" activePane="bottomLeft" state="frozen"/>
      <selection pane="bottomLeft" activeCell="D1" sqref="A1:D1"/>
    </sheetView>
  </sheetViews>
  <sheetFormatPr defaultColWidth="8.6640625" defaultRowHeight="14.4" x14ac:dyDescent="0.3"/>
  <cols>
    <col min="1" max="1" width="46" customWidth="1"/>
    <col min="2" max="8" width="12" customWidth="1"/>
    <col min="9" max="9" width="3" customWidth="1"/>
  </cols>
  <sheetData>
    <row r="1" spans="1:8" ht="17.399999999999999" x14ac:dyDescent="0.3">
      <c r="A1" s="10" t="s">
        <v>355</v>
      </c>
    </row>
    <row r="2" spans="1:8" x14ac:dyDescent="0.3">
      <c r="A2" s="11" t="s">
        <v>356</v>
      </c>
    </row>
    <row r="4" spans="1:8" x14ac:dyDescent="0.3">
      <c r="A4" s="12" t="s">
        <v>357</v>
      </c>
      <c r="B4" s="13">
        <v>46311</v>
      </c>
      <c r="C4" s="3" t="s">
        <v>358</v>
      </c>
      <c r="D4" s="3"/>
      <c r="E4" s="3"/>
      <c r="F4" s="3"/>
      <c r="G4" s="3"/>
      <c r="H4" s="3"/>
    </row>
    <row r="5" spans="1:8" x14ac:dyDescent="0.3">
      <c r="A5" s="12" t="s">
        <v>359</v>
      </c>
      <c r="B5" s="14">
        <v>3</v>
      </c>
      <c r="C5" s="3" t="s">
        <v>360</v>
      </c>
      <c r="D5" s="3"/>
      <c r="E5" s="3"/>
      <c r="F5" s="3"/>
      <c r="G5" s="3"/>
      <c r="H5" s="3"/>
    </row>
    <row r="7" spans="1:8" x14ac:dyDescent="0.3">
      <c r="A7" s="15" t="s">
        <v>361</v>
      </c>
    </row>
    <row r="8" spans="1:8" ht="15" customHeight="1" x14ac:dyDescent="0.3">
      <c r="A8" s="31" t="s">
        <v>362</v>
      </c>
      <c r="B8" s="32" t="s">
        <v>363</v>
      </c>
      <c r="C8" s="33" t="s">
        <v>364</v>
      </c>
      <c r="D8" s="33"/>
      <c r="E8" s="33"/>
      <c r="F8" s="33"/>
      <c r="G8" s="33"/>
      <c r="H8" s="33"/>
    </row>
    <row r="9" spans="1:8" x14ac:dyDescent="0.3">
      <c r="A9" s="5" t="s">
        <v>365</v>
      </c>
      <c r="B9" s="16">
        <f>SUMPRODUCT(--(COUNTIF(tblOnboarding[Employee ID],tblEmployees[Employee ID])&gt;0))</f>
        <v>17</v>
      </c>
      <c r="C9" s="2" t="s">
        <v>366</v>
      </c>
      <c r="D9" s="2"/>
      <c r="E9" s="2"/>
      <c r="F9" s="2"/>
      <c r="G9" s="2"/>
      <c r="H9" s="2"/>
    </row>
    <row r="10" spans="1:8" x14ac:dyDescent="0.3">
      <c r="A10" s="5" t="s">
        <v>367</v>
      </c>
      <c r="B10" s="16">
        <f>COUNTA(tblOnboarding[Task ID])</f>
        <v>136</v>
      </c>
      <c r="C10" s="2" t="s">
        <v>368</v>
      </c>
      <c r="D10" s="2"/>
      <c r="E10" s="2"/>
      <c r="F10" s="2"/>
      <c r="G10" s="2"/>
      <c r="H10" s="2"/>
    </row>
    <row r="11" spans="1:8" x14ac:dyDescent="0.3">
      <c r="A11" s="5" t="s">
        <v>169</v>
      </c>
      <c r="B11" s="16">
        <f>COUNTIF(tblOnboarding[Status],"Completed")</f>
        <v>94</v>
      </c>
      <c r="C11" s="2" t="s">
        <v>369</v>
      </c>
      <c r="D11" s="2"/>
      <c r="E11" s="2"/>
      <c r="F11" s="2"/>
      <c r="G11" s="2"/>
      <c r="H11" s="2"/>
    </row>
    <row r="12" spans="1:8" x14ac:dyDescent="0.3">
      <c r="A12" s="5" t="s">
        <v>187</v>
      </c>
      <c r="B12" s="16">
        <f>COUNTIF(tblOnboarding[Status],"In Progress")</f>
        <v>18</v>
      </c>
      <c r="C12" s="2" t="s">
        <v>370</v>
      </c>
      <c r="D12" s="2"/>
      <c r="E12" s="2"/>
      <c r="F12" s="2"/>
      <c r="G12" s="2"/>
      <c r="H12" s="2"/>
    </row>
    <row r="13" spans="1:8" x14ac:dyDescent="0.3">
      <c r="A13" s="5" t="s">
        <v>205</v>
      </c>
      <c r="B13" s="16">
        <f>COUNTIF(tblOnboarding[Status],"Pending")</f>
        <v>24</v>
      </c>
      <c r="C13" s="2" t="s">
        <v>371</v>
      </c>
      <c r="D13" s="2"/>
      <c r="E13" s="2"/>
      <c r="F13" s="2"/>
      <c r="G13" s="2"/>
      <c r="H13" s="2"/>
    </row>
    <row r="14" spans="1:8" x14ac:dyDescent="0.3">
      <c r="A14" s="5" t="s">
        <v>162</v>
      </c>
      <c r="B14" s="16">
        <f>COUNTIF(tblOnboarding[Overdue],"Yes")</f>
        <v>22</v>
      </c>
      <c r="C14" s="2" t="s">
        <v>372</v>
      </c>
      <c r="D14" s="2"/>
      <c r="E14" s="2"/>
      <c r="F14" s="2"/>
      <c r="G14" s="2"/>
      <c r="H14" s="2"/>
    </row>
    <row r="15" spans="1:8" x14ac:dyDescent="0.3">
      <c r="A15" s="5" t="s">
        <v>373</v>
      </c>
      <c r="B15" s="16">
        <f>COUNTIF(tblOnboarding[Due Soon],"Yes")</f>
        <v>13</v>
      </c>
      <c r="C15" s="2" t="s">
        <v>374</v>
      </c>
      <c r="D15" s="2"/>
      <c r="E15" s="2"/>
      <c r="F15" s="2"/>
      <c r="G15" s="2"/>
      <c r="H15" s="2"/>
    </row>
    <row r="16" spans="1:8" x14ac:dyDescent="0.3">
      <c r="A16" s="5" t="s">
        <v>375</v>
      </c>
      <c r="B16" s="17">
        <f>IFERROR(B11/B10,0)</f>
        <v>0.69117647058823528</v>
      </c>
      <c r="C16" s="2" t="s">
        <v>376</v>
      </c>
      <c r="D16" s="2"/>
      <c r="E16" s="2"/>
      <c r="F16" s="2"/>
      <c r="G16" s="2"/>
      <c r="H16" s="2"/>
    </row>
    <row r="17" spans="1:18" x14ac:dyDescent="0.3">
      <c r="A17" s="5" t="s">
        <v>377</v>
      </c>
      <c r="B17" s="17">
        <f>IFERROR(COUNTIFS(tblOnboarding[Due Date],"&lt;="&amp;ReportDate,tblOnboarding[Status],"Completed")/COUNTIFS(tblOnboarding[Due Date],"&lt;="&amp;ReportDate),0)</f>
        <v>0.78991596638655459</v>
      </c>
      <c r="C17" s="2" t="s">
        <v>378</v>
      </c>
      <c r="D17" s="2"/>
      <c r="E17" s="2"/>
      <c r="F17" s="2"/>
      <c r="G17" s="2"/>
      <c r="H17" s="2"/>
    </row>
    <row r="18" spans="1:18" x14ac:dyDescent="0.3">
      <c r="A18" s="5" t="s">
        <v>379</v>
      </c>
      <c r="B18" s="17">
        <f>IFERROR(COUNTIF(tblDocuments[Document Status],"Verified")/COUNTA(tblDocuments[Document Type]),0)</f>
        <v>0.5</v>
      </c>
      <c r="C18" s="2" t="s">
        <v>380</v>
      </c>
      <c r="D18" s="2"/>
      <c r="E18" s="2"/>
      <c r="F18" s="2"/>
      <c r="G18" s="2"/>
      <c r="H18" s="2"/>
    </row>
    <row r="20" spans="1:18" x14ac:dyDescent="0.3">
      <c r="A20" s="15" t="s">
        <v>381</v>
      </c>
    </row>
    <row r="21" spans="1:18" x14ac:dyDescent="0.3">
      <c r="A21" s="31" t="s">
        <v>2</v>
      </c>
      <c r="B21" s="32" t="s">
        <v>169</v>
      </c>
      <c r="C21" s="32" t="s">
        <v>187</v>
      </c>
      <c r="D21" s="32" t="s">
        <v>205</v>
      </c>
      <c r="E21" s="32" t="s">
        <v>382</v>
      </c>
    </row>
    <row r="22" spans="1:18" x14ac:dyDescent="0.3">
      <c r="A22" s="5" t="str">
        <f>IFERROR(INDEX($A$84:$A$91,MATCH(LARGE($C$84:$C$91,ROWS(A$22:A22)),$C$84:$C$91,0)),"")</f>
        <v>Customer Support</v>
      </c>
      <c r="B22" s="18">
        <f>IF($A22="","",COUNTIFS(tblOnboarding[Department],$A22,tblOnboarding[Status],"Completed"))</f>
        <v>18</v>
      </c>
      <c r="C22" s="18">
        <f>IF($A22="","",COUNTIFS(tblOnboarding[Department],$A22,tblOnboarding[Status],"In Progress"))</f>
        <v>5</v>
      </c>
      <c r="D22" s="18">
        <f>IF($A22="","",COUNTIFS(tblOnboarding[Department],$A22,tblOnboarding[Status],"Pending"))</f>
        <v>9</v>
      </c>
      <c r="E22" s="18">
        <f t="shared" ref="E22:E29" si="0">IF($A22="","",C22+D22)</f>
        <v>14</v>
      </c>
    </row>
    <row r="23" spans="1:18" ht="15" customHeight="1" x14ac:dyDescent="0.3">
      <c r="A23" s="5" t="str">
        <f>IFERROR(INDEX($A$84:$A$91,MATCH(LARGE($C$84:$C$91,ROWS(A$22:A23)),$C$84:$C$91,0)),"")</f>
        <v>Marketing</v>
      </c>
      <c r="B23" s="18">
        <f>IF($A23="","",COUNTIFS(tblOnboarding[Department],$A23,tblOnboarding[Status],"Completed"))</f>
        <v>5</v>
      </c>
      <c r="C23" s="18">
        <f>IF($A23="","",COUNTIFS(tblOnboarding[Department],$A23,tblOnboarding[Status],"In Progress"))</f>
        <v>3</v>
      </c>
      <c r="D23" s="18">
        <f>IF($A23="","",COUNTIFS(tblOnboarding[Department],$A23,tblOnboarding[Status],"Pending"))</f>
        <v>8</v>
      </c>
      <c r="E23" s="18">
        <f t="shared" si="0"/>
        <v>11</v>
      </c>
      <c r="J23" s="1" t="s">
        <v>383</v>
      </c>
      <c r="K23" s="1"/>
      <c r="L23" s="1"/>
      <c r="M23" s="1"/>
      <c r="N23" s="1"/>
      <c r="O23" s="1"/>
      <c r="P23" s="1"/>
      <c r="Q23" s="1"/>
      <c r="R23" s="1"/>
    </row>
    <row r="24" spans="1:18" x14ac:dyDescent="0.3">
      <c r="A24" s="5" t="str">
        <f>IFERROR(INDEX($A$84:$A$91,MATCH(LARGE($C$84:$C$91,ROWS(A$22:A24)),$C$84:$C$91,0)),"")</f>
        <v>Operations</v>
      </c>
      <c r="B24" s="18">
        <f>IF($A24="","",COUNTIFS(tblOnboarding[Department],$A24,tblOnboarding[Status],"Completed"))</f>
        <v>17</v>
      </c>
      <c r="C24" s="18">
        <f>IF($A24="","",COUNTIFS(tblOnboarding[Department],$A24,tblOnboarding[Status],"In Progress"))</f>
        <v>4</v>
      </c>
      <c r="D24" s="18">
        <f>IF($A24="","",COUNTIFS(tblOnboarding[Department],$A24,tblOnboarding[Status],"Pending"))</f>
        <v>3</v>
      </c>
      <c r="E24" s="18">
        <f t="shared" si="0"/>
        <v>7</v>
      </c>
      <c r="J24" s="1"/>
      <c r="K24" s="1"/>
      <c r="L24" s="1"/>
      <c r="M24" s="1"/>
      <c r="N24" s="1"/>
      <c r="O24" s="1"/>
      <c r="P24" s="1"/>
      <c r="Q24" s="1"/>
      <c r="R24" s="1"/>
    </row>
    <row r="25" spans="1:18" x14ac:dyDescent="0.3">
      <c r="A25" s="5" t="str">
        <f>IFERROR(INDEX($A$84:$A$91,MATCH(LARGE($C$84:$C$91,ROWS(A$22:A25)),$C$84:$C$91,0)),"")</f>
        <v>Sales</v>
      </c>
      <c r="B25" s="18">
        <f>IF($A25="","",COUNTIFS(tblOnboarding[Department],$A25,tblOnboarding[Status],"Completed"))</f>
        <v>13</v>
      </c>
      <c r="C25" s="18">
        <f>IF($A25="","",COUNTIFS(tblOnboarding[Department],$A25,tblOnboarding[Status],"In Progress"))</f>
        <v>2</v>
      </c>
      <c r="D25" s="18">
        <f>IF($A25="","",COUNTIFS(tblOnboarding[Department],$A25,tblOnboarding[Status],"Pending"))</f>
        <v>1</v>
      </c>
      <c r="E25" s="18">
        <f t="shared" si="0"/>
        <v>3</v>
      </c>
    </row>
    <row r="26" spans="1:18" x14ac:dyDescent="0.3">
      <c r="A26" s="5" t="str">
        <f>IFERROR(INDEX($A$84:$A$91,MATCH(LARGE($C$84:$C$91,ROWS(A$22:A26)),$C$84:$C$91,0)),"")</f>
        <v>Information Technology</v>
      </c>
      <c r="B26" s="18">
        <f>IF($A26="","",COUNTIFS(tblOnboarding[Department],$A26,tblOnboarding[Status],"Completed"))</f>
        <v>21</v>
      </c>
      <c r="C26" s="18">
        <f>IF($A26="","",COUNTIFS(tblOnboarding[Department],$A26,tblOnboarding[Status],"In Progress"))</f>
        <v>2</v>
      </c>
      <c r="D26" s="18">
        <f>IF($A26="","",COUNTIFS(tblOnboarding[Department],$A26,tblOnboarding[Status],"Pending"))</f>
        <v>1</v>
      </c>
      <c r="E26" s="18">
        <f t="shared" si="0"/>
        <v>3</v>
      </c>
    </row>
    <row r="27" spans="1:18" x14ac:dyDescent="0.3">
      <c r="A27" s="5" t="str">
        <f>IFERROR(INDEX($A$84:$A$91,MATCH(LARGE($C$84:$C$91,ROWS(A$22:A27)),$C$84:$C$91,0)),"")</f>
        <v>Administration</v>
      </c>
      <c r="B27" s="18">
        <f>IF($A27="","",COUNTIFS(tblOnboarding[Department],$A27,tblOnboarding[Status],"Completed"))</f>
        <v>6</v>
      </c>
      <c r="C27" s="18">
        <f>IF($A27="","",COUNTIFS(tblOnboarding[Department],$A27,tblOnboarding[Status],"In Progress"))</f>
        <v>1</v>
      </c>
      <c r="D27" s="18">
        <f>IF($A27="","",COUNTIFS(tblOnboarding[Department],$A27,tblOnboarding[Status],"Pending"))</f>
        <v>1</v>
      </c>
      <c r="E27" s="18">
        <f t="shared" si="0"/>
        <v>2</v>
      </c>
    </row>
    <row r="28" spans="1:18" x14ac:dyDescent="0.3">
      <c r="A28" s="5" t="str">
        <f>IFERROR(INDEX($A$84:$A$91,MATCH(LARGE($C$84:$C$91,ROWS(A$22:A28)),$C$84:$C$91,0)),"")</f>
        <v>Human Resources</v>
      </c>
      <c r="B28" s="18">
        <f>IF($A28="","",COUNTIFS(tblOnboarding[Department],$A28,tblOnboarding[Status],"Completed"))</f>
        <v>7</v>
      </c>
      <c r="C28" s="18">
        <f>IF($A28="","",COUNTIFS(tblOnboarding[Department],$A28,tblOnboarding[Status],"In Progress"))</f>
        <v>0</v>
      </c>
      <c r="D28" s="18">
        <f>IF($A28="","",COUNTIFS(tblOnboarding[Department],$A28,tblOnboarding[Status],"Pending"))</f>
        <v>1</v>
      </c>
      <c r="E28" s="18">
        <f t="shared" si="0"/>
        <v>1</v>
      </c>
    </row>
    <row r="29" spans="1:18" x14ac:dyDescent="0.3">
      <c r="A29" s="5" t="str">
        <f>IFERROR(INDEX($A$84:$A$91,MATCH(LARGE($C$84:$C$91,ROWS(A$22:A29)),$C$84:$C$91,0)),"")</f>
        <v>Finance</v>
      </c>
      <c r="B29" s="18">
        <f>IF($A29="","",COUNTIFS(tblOnboarding[Department],$A29,tblOnboarding[Status],"Completed"))</f>
        <v>7</v>
      </c>
      <c r="C29" s="18">
        <f>IF($A29="","",COUNTIFS(tblOnboarding[Department],$A29,tblOnboarding[Status],"In Progress"))</f>
        <v>1</v>
      </c>
      <c r="D29" s="18">
        <f>IF($A29="","",COUNTIFS(tblOnboarding[Department],$A29,tblOnboarding[Status],"Pending"))</f>
        <v>0</v>
      </c>
      <c r="E29" s="18">
        <f t="shared" si="0"/>
        <v>1</v>
      </c>
    </row>
    <row r="31" spans="1:18" x14ac:dyDescent="0.3">
      <c r="A31" s="15" t="s">
        <v>384</v>
      </c>
    </row>
    <row r="32" spans="1:18" ht="27" customHeight="1" x14ac:dyDescent="0.3">
      <c r="A32" s="31" t="s">
        <v>385</v>
      </c>
      <c r="B32" s="32" t="s">
        <v>386</v>
      </c>
      <c r="C32" s="32" t="s">
        <v>387</v>
      </c>
      <c r="D32" s="32" t="s">
        <v>373</v>
      </c>
    </row>
    <row r="33" spans="1:18" x14ac:dyDescent="0.3">
      <c r="A33" s="5" t="str">
        <f>Lists!D2</f>
        <v>HR</v>
      </c>
      <c r="B33" s="18">
        <f>COUNTIFS(tblOnboarding[Task Owner],$A33,tblOnboarding[Status],"&lt;&gt;Completed")</f>
        <v>25</v>
      </c>
      <c r="C33" s="18">
        <f>COUNTIFS(tblOnboarding[Task Owner],$A33,tblOnboarding[Overdue],"Yes")</f>
        <v>13</v>
      </c>
      <c r="D33" s="18">
        <f>COUNTIFS(tblOnboarding[Task Owner],$A33,tblOnboarding[Due Soon],"Yes")</f>
        <v>7</v>
      </c>
    </row>
    <row r="34" spans="1:18" x14ac:dyDescent="0.3">
      <c r="A34" s="5" t="str">
        <f>Lists!D3</f>
        <v>IT</v>
      </c>
      <c r="B34" s="18">
        <f>COUNTIFS(tblOnboarding[Task Owner],$A34,tblOnboarding[Status],"&lt;&gt;Completed")</f>
        <v>3</v>
      </c>
      <c r="C34" s="18">
        <f>COUNTIFS(tblOnboarding[Task Owner],$A34,tblOnboarding[Overdue],"Yes")</f>
        <v>3</v>
      </c>
      <c r="D34" s="18">
        <f>COUNTIFS(tblOnboarding[Task Owner],$A34,tblOnboarding[Due Soon],"Yes")</f>
        <v>0</v>
      </c>
    </row>
    <row r="35" spans="1:18" x14ac:dyDescent="0.3">
      <c r="A35" s="5" t="str">
        <f>Lists!D4</f>
        <v>Payroll</v>
      </c>
      <c r="B35" s="18">
        <f>COUNTIFS(tblOnboarding[Task Owner],$A35,tblOnboarding[Status],"&lt;&gt;Completed")</f>
        <v>8</v>
      </c>
      <c r="C35" s="18">
        <f>COUNTIFS(tblOnboarding[Task Owner],$A35,tblOnboarding[Overdue],"Yes")</f>
        <v>4</v>
      </c>
      <c r="D35" s="18">
        <f>COUNTIFS(tblOnboarding[Task Owner],$A35,tblOnboarding[Due Soon],"Yes")</f>
        <v>4</v>
      </c>
    </row>
    <row r="36" spans="1:18" x14ac:dyDescent="0.3">
      <c r="A36" s="5" t="str">
        <f>Lists!D5</f>
        <v>Reporting Manager</v>
      </c>
      <c r="B36" s="18">
        <f>COUNTIFS(tblOnboarding[Task Owner],$A36,tblOnboarding[Status],"&lt;&gt;Completed")</f>
        <v>6</v>
      </c>
      <c r="C36" s="18">
        <f>COUNTIFS(tblOnboarding[Task Owner],$A36,tblOnboarding[Overdue],"Yes")</f>
        <v>2</v>
      </c>
      <c r="D36" s="18">
        <f>COUNTIFS(tblOnboarding[Task Owner],$A36,tblOnboarding[Due Soon],"Yes")</f>
        <v>2</v>
      </c>
    </row>
    <row r="38" spans="1:18" x14ac:dyDescent="0.3">
      <c r="A38" s="15" t="s">
        <v>388</v>
      </c>
    </row>
    <row r="39" spans="1:18" x14ac:dyDescent="0.3">
      <c r="A39" s="31" t="s">
        <v>389</v>
      </c>
      <c r="B39" s="32" t="s">
        <v>0</v>
      </c>
      <c r="C39" s="32" t="s">
        <v>390</v>
      </c>
      <c r="D39" s="32" t="s">
        <v>169</v>
      </c>
      <c r="E39" s="32" t="s">
        <v>391</v>
      </c>
      <c r="F39" s="32" t="s">
        <v>392</v>
      </c>
    </row>
    <row r="40" spans="1:18" ht="15" customHeight="1" x14ac:dyDescent="0.3">
      <c r="A40" s="5" t="str">
        <f t="shared" ref="A40:A49" si="1">IF($B40="","",INDEX($B$96:$B$155,MATCH($B40,$A$96:$A$155,0)))</f>
        <v>Dipti Mane</v>
      </c>
      <c r="B40" s="19" t="str">
        <f>IFERROR(INDEX($A$96:$A$155,MATCH(SMALL($G$96:$G$155,ROWS(B$40:B40)),$G$96:$G$155,0)),"")</f>
        <v>WBS-1050</v>
      </c>
      <c r="C40" s="20">
        <f>IF($B40="","",INDEX(tblEmployees[Joining Date],MATCH($B40,tblEmployees[Employee ID],0)))</f>
        <v>46309</v>
      </c>
      <c r="D40" s="18">
        <f t="shared" ref="D40:D49" si="2">IF($B40="","",INDEX($D$96:$D$155,MATCH($B40,$A$96:$A$155,0)))</f>
        <v>1</v>
      </c>
      <c r="E40" s="18">
        <f t="shared" ref="E40:E49" si="3">IF($B40="","",INDEX($C$96:$C$155,MATCH($B40,$A$96:$A$155,0)))</f>
        <v>8</v>
      </c>
      <c r="F40" s="21">
        <f t="shared" ref="F40:F49" si="4">IF($B40="","",D40/E40)</f>
        <v>0.125</v>
      </c>
      <c r="J40" s="1" t="s">
        <v>393</v>
      </c>
      <c r="K40" s="1"/>
      <c r="L40" s="1"/>
      <c r="M40" s="1"/>
      <c r="N40" s="1"/>
      <c r="O40" s="1"/>
      <c r="P40" s="1"/>
      <c r="Q40" s="1"/>
      <c r="R40" s="1"/>
    </row>
    <row r="41" spans="1:18" x14ac:dyDescent="0.3">
      <c r="A41" s="5" t="str">
        <f t="shared" si="1"/>
        <v>Nikhil More</v>
      </c>
      <c r="B41" s="19" t="str">
        <f>IFERROR(INDEX($A$96:$A$155,MATCH(SMALL($G$96:$G$155,ROWS(B$40:B41)),$G$96:$G$155,0)),"")</f>
        <v>WBS-1049</v>
      </c>
      <c r="C41" s="20">
        <f>IF($B41="","",INDEX(tblEmployees[Joining Date],MATCH($B41,tblEmployees[Employee ID],0)))</f>
        <v>46308</v>
      </c>
      <c r="D41" s="18">
        <f t="shared" si="2"/>
        <v>1</v>
      </c>
      <c r="E41" s="18">
        <f t="shared" si="3"/>
        <v>8</v>
      </c>
      <c r="F41" s="21">
        <f t="shared" si="4"/>
        <v>0.125</v>
      </c>
      <c r="J41" s="1"/>
      <c r="K41" s="1"/>
      <c r="L41" s="1"/>
      <c r="M41" s="1"/>
      <c r="N41" s="1"/>
      <c r="O41" s="1"/>
      <c r="P41" s="1"/>
      <c r="Q41" s="1"/>
      <c r="R41" s="1"/>
    </row>
    <row r="42" spans="1:18" x14ac:dyDescent="0.3">
      <c r="A42" s="5" t="str">
        <f t="shared" si="1"/>
        <v>Varun Salunkhe</v>
      </c>
      <c r="B42" s="19" t="str">
        <f>IFERROR(INDEX($A$96:$A$155,MATCH(SMALL($G$96:$G$155,ROWS(B$40:B42)),$G$96:$G$155,0)),"")</f>
        <v>WBS-1047</v>
      </c>
      <c r="C42" s="20">
        <f>IF($B42="","",INDEX(tblEmployees[Joining Date],MATCH($B42,tblEmployees[Employee ID],0)))</f>
        <v>46307</v>
      </c>
      <c r="D42" s="18">
        <f t="shared" si="2"/>
        <v>3</v>
      </c>
      <c r="E42" s="18">
        <f t="shared" si="3"/>
        <v>8</v>
      </c>
      <c r="F42" s="21">
        <f t="shared" si="4"/>
        <v>0.375</v>
      </c>
    </row>
    <row r="43" spans="1:18" x14ac:dyDescent="0.3">
      <c r="A43" s="5" t="str">
        <f t="shared" si="1"/>
        <v>Ajinkya Jadhav</v>
      </c>
      <c r="B43" s="19" t="str">
        <f>IFERROR(INDEX($A$96:$A$155,MATCH(SMALL($G$96:$G$155,ROWS(B$40:B43)),$G$96:$G$155,0)),"")</f>
        <v>WBS-1048</v>
      </c>
      <c r="C43" s="20">
        <f>IF($B43="","",INDEX(tblEmployees[Joining Date],MATCH($B43,tblEmployees[Employee ID],0)))</f>
        <v>46307</v>
      </c>
      <c r="D43" s="18">
        <f t="shared" si="2"/>
        <v>4</v>
      </c>
      <c r="E43" s="18">
        <f t="shared" si="3"/>
        <v>8</v>
      </c>
      <c r="F43" s="21">
        <f t="shared" si="4"/>
        <v>0.5</v>
      </c>
    </row>
    <row r="44" spans="1:18" x14ac:dyDescent="0.3">
      <c r="A44" s="5" t="str">
        <f t="shared" si="1"/>
        <v>Priya Kadam</v>
      </c>
      <c r="B44" s="19" t="str">
        <f>IFERROR(INDEX($A$96:$A$155,MATCH(SMALL($G$96:$G$155,ROWS(B$40:B44)),$G$96:$G$155,0)),"")</f>
        <v>WBS-1036</v>
      </c>
      <c r="C44" s="20">
        <f>IF($B44="","",INDEX(tblEmployees[Joining Date],MATCH($B44,tblEmployees[Employee ID],0)))</f>
        <v>46279</v>
      </c>
      <c r="D44" s="18">
        <f t="shared" si="2"/>
        <v>5</v>
      </c>
      <c r="E44" s="18">
        <f t="shared" si="3"/>
        <v>8</v>
      </c>
      <c r="F44" s="21">
        <f t="shared" si="4"/>
        <v>0.625</v>
      </c>
    </row>
    <row r="45" spans="1:18" x14ac:dyDescent="0.3">
      <c r="A45" s="5" t="str">
        <f t="shared" si="1"/>
        <v>Pratik Iyer</v>
      </c>
      <c r="B45" s="19" t="str">
        <f>IFERROR(INDEX($A$96:$A$155,MATCH(SMALL($G$96:$G$155,ROWS(B$40:B45)),$G$96:$G$155,0)),"")</f>
        <v>WBS-1045</v>
      </c>
      <c r="C45" s="20">
        <f>IF($B45="","",INDEX(tblEmployees[Joining Date],MATCH($B45,tblEmployees[Employee ID],0)))</f>
        <v>46300</v>
      </c>
      <c r="D45" s="18">
        <f t="shared" si="2"/>
        <v>6</v>
      </c>
      <c r="E45" s="18">
        <f t="shared" si="3"/>
        <v>8</v>
      </c>
      <c r="F45" s="21">
        <f t="shared" si="4"/>
        <v>0.75</v>
      </c>
    </row>
    <row r="46" spans="1:18" x14ac:dyDescent="0.3">
      <c r="A46" s="5" t="str">
        <f t="shared" si="1"/>
        <v>Rutuja Sawant</v>
      </c>
      <c r="B46" s="19" t="str">
        <f>IFERROR(INDEX($A$96:$A$155,MATCH(SMALL($G$96:$G$155,ROWS(B$40:B46)),$G$96:$G$155,0)),"")</f>
        <v>WBS-1044</v>
      </c>
      <c r="C46" s="20">
        <f>IF($B46="","",INDEX(tblEmployees[Joining Date],MATCH($B46,tblEmployees[Employee ID],0)))</f>
        <v>46300</v>
      </c>
      <c r="D46" s="18">
        <f t="shared" si="2"/>
        <v>6</v>
      </c>
      <c r="E46" s="18">
        <f t="shared" si="3"/>
        <v>8</v>
      </c>
      <c r="F46" s="21">
        <f t="shared" si="4"/>
        <v>0.75</v>
      </c>
    </row>
    <row r="47" spans="1:18" x14ac:dyDescent="0.3">
      <c r="A47" s="5" t="str">
        <f t="shared" si="1"/>
        <v>Shruti Bansal</v>
      </c>
      <c r="B47" s="19" t="str">
        <f>IFERROR(INDEX($A$96:$A$155,MATCH(SMALL($G$96:$G$155,ROWS(B$40:B47)),$G$96:$G$155,0)),"")</f>
        <v>WBS-1043</v>
      </c>
      <c r="C47" s="20">
        <f>IF($B47="","",INDEX(tblEmployees[Joining Date],MATCH($B47,tblEmployees[Employee ID],0)))</f>
        <v>46300</v>
      </c>
      <c r="D47" s="18">
        <f t="shared" si="2"/>
        <v>6</v>
      </c>
      <c r="E47" s="18">
        <f t="shared" si="3"/>
        <v>8</v>
      </c>
      <c r="F47" s="21">
        <f t="shared" si="4"/>
        <v>0.75</v>
      </c>
    </row>
    <row r="48" spans="1:18" x14ac:dyDescent="0.3">
      <c r="A48" s="5" t="str">
        <f t="shared" si="1"/>
        <v>Vaishnavi Pillai</v>
      </c>
      <c r="B48" s="19" t="str">
        <f>IFERROR(INDEX($A$96:$A$155,MATCH(SMALL($G$96:$G$155,ROWS(B$40:B48)),$G$96:$G$155,0)),"")</f>
        <v>WBS-1038</v>
      </c>
      <c r="C48" s="20">
        <f>IF($B48="","",INDEX(tblEmployees[Joining Date],MATCH($B48,tblEmployees[Employee ID],0)))</f>
        <v>46286</v>
      </c>
      <c r="D48" s="18">
        <f t="shared" si="2"/>
        <v>6</v>
      </c>
      <c r="E48" s="18">
        <f t="shared" si="3"/>
        <v>8</v>
      </c>
      <c r="F48" s="21">
        <f t="shared" si="4"/>
        <v>0.75</v>
      </c>
    </row>
    <row r="49" spans="1:18" x14ac:dyDescent="0.3">
      <c r="A49" s="5" t="str">
        <f t="shared" si="1"/>
        <v>Amey Joshi</v>
      </c>
      <c r="B49" s="19" t="str">
        <f>IFERROR(INDEX($A$96:$A$155,MATCH(SMALL($G$96:$G$155,ROWS(B$40:B49)),$G$96:$G$155,0)),"")</f>
        <v>WBS-1040</v>
      </c>
      <c r="C49" s="20">
        <f>IF($B49="","",INDEX(tblEmployees[Joining Date],MATCH($B49,tblEmployees[Employee ID],0)))</f>
        <v>46293</v>
      </c>
      <c r="D49" s="18">
        <f t="shared" si="2"/>
        <v>7</v>
      </c>
      <c r="E49" s="18">
        <f t="shared" si="3"/>
        <v>8</v>
      </c>
      <c r="F49" s="21">
        <f t="shared" si="4"/>
        <v>0.875</v>
      </c>
    </row>
    <row r="51" spans="1:18" x14ac:dyDescent="0.3">
      <c r="A51" s="15" t="s">
        <v>394</v>
      </c>
    </row>
    <row r="52" spans="1:18" ht="15" customHeight="1" x14ac:dyDescent="0.3">
      <c r="A52" s="31" t="s">
        <v>161</v>
      </c>
      <c r="B52" s="32" t="s">
        <v>395</v>
      </c>
      <c r="C52" s="33" t="s">
        <v>396</v>
      </c>
      <c r="D52" s="33"/>
      <c r="E52" s="33"/>
      <c r="F52" s="33"/>
      <c r="G52" s="33"/>
      <c r="H52" s="33"/>
    </row>
    <row r="53" spans="1:18" x14ac:dyDescent="0.3">
      <c r="A53" s="5" t="s">
        <v>341</v>
      </c>
      <c r="B53" s="16">
        <f>COUNTIF(tblDocuments[Document Status],"Verified")</f>
        <v>34</v>
      </c>
      <c r="C53" s="2" t="s">
        <v>397</v>
      </c>
      <c r="D53" s="2"/>
      <c r="E53" s="2"/>
      <c r="F53" s="2"/>
      <c r="G53" s="2"/>
      <c r="H53" s="2"/>
    </row>
    <row r="54" spans="1:18" x14ac:dyDescent="0.3">
      <c r="A54" s="5" t="s">
        <v>398</v>
      </c>
      <c r="B54" s="16">
        <f>COUNTIF(tblDocuments[Document Status],"Awaiting Verification")</f>
        <v>19</v>
      </c>
      <c r="C54" s="2" t="s">
        <v>399</v>
      </c>
      <c r="D54" s="2"/>
      <c r="E54" s="2"/>
      <c r="F54" s="2"/>
      <c r="G54" s="2"/>
      <c r="H54" s="2"/>
    </row>
    <row r="55" spans="1:18" x14ac:dyDescent="0.3">
      <c r="A55" s="5" t="s">
        <v>400</v>
      </c>
      <c r="B55" s="16">
        <f>COUNTIF(tblDocuments[Document Status],"Needs Resubmission")</f>
        <v>4</v>
      </c>
      <c r="C55" s="2" t="s">
        <v>401</v>
      </c>
      <c r="D55" s="2"/>
      <c r="E55" s="2"/>
      <c r="F55" s="2"/>
      <c r="G55" s="2"/>
      <c r="H55" s="2"/>
    </row>
    <row r="56" spans="1:18" x14ac:dyDescent="0.3">
      <c r="A56" s="5" t="s">
        <v>402</v>
      </c>
      <c r="B56" s="16">
        <f>COUNTIF(tblDocuments[Document Status],"Not Submitted")</f>
        <v>11</v>
      </c>
      <c r="C56" s="2" t="s">
        <v>403</v>
      </c>
      <c r="D56" s="2"/>
      <c r="E56" s="2"/>
      <c r="F56" s="2"/>
      <c r="G56" s="2"/>
      <c r="H56" s="2"/>
    </row>
    <row r="57" spans="1:18" x14ac:dyDescent="0.3">
      <c r="A57" s="34" t="s">
        <v>404</v>
      </c>
      <c r="B57" s="35">
        <f>COUNTA(tblDocuments[Document Type])</f>
        <v>68</v>
      </c>
    </row>
    <row r="59" spans="1:18" x14ac:dyDescent="0.3">
      <c r="A59" s="15" t="s">
        <v>405</v>
      </c>
    </row>
    <row r="60" spans="1:18" ht="15" customHeight="1" x14ac:dyDescent="0.3">
      <c r="A60" s="5" t="s">
        <v>406</v>
      </c>
      <c r="B60" s="22" t="str">
        <f>COUNTIF($C$69:$C$79,"OK")&amp;" of "&amp;ROWS($C$69:$C$79)</f>
        <v>11 of 11</v>
      </c>
      <c r="C60" s="19" t="str">
        <f>IF(COUNTIF($C$69:$C$79,"Check")=0,"OK","Check")</f>
        <v>OK</v>
      </c>
      <c r="J60" s="1" t="s">
        <v>407</v>
      </c>
      <c r="K60" s="1"/>
      <c r="L60" s="1"/>
      <c r="M60" s="1"/>
      <c r="N60" s="1"/>
      <c r="O60" s="1"/>
      <c r="P60" s="1"/>
      <c r="Q60" s="1"/>
      <c r="R60" s="1"/>
    </row>
    <row r="61" spans="1:18" x14ac:dyDescent="0.3">
      <c r="J61" s="1"/>
      <c r="K61" s="1"/>
      <c r="L61" s="1"/>
      <c r="M61" s="1"/>
      <c r="N61" s="1"/>
      <c r="O61" s="1"/>
      <c r="P61" s="1"/>
      <c r="Q61" s="1"/>
      <c r="R61" s="1"/>
    </row>
    <row r="62" spans="1:18" x14ac:dyDescent="0.3">
      <c r="A62" s="15" t="s">
        <v>408</v>
      </c>
    </row>
    <row r="63" spans="1:18" ht="25.5" customHeight="1" x14ac:dyDescent="0.3">
      <c r="A63" s="1" t="s">
        <v>409</v>
      </c>
      <c r="B63" s="1"/>
      <c r="C63" s="1"/>
      <c r="D63" s="1"/>
      <c r="E63" s="1"/>
      <c r="F63" s="1"/>
      <c r="G63" s="1"/>
      <c r="H63" s="1"/>
    </row>
    <row r="64" spans="1:18" ht="25.5" customHeight="1" x14ac:dyDescent="0.3">
      <c r="A64" s="1" t="s">
        <v>410</v>
      </c>
      <c r="B64" s="1"/>
      <c r="C64" s="1"/>
      <c r="D64" s="1"/>
      <c r="E64" s="1"/>
      <c r="F64" s="1"/>
      <c r="G64" s="1"/>
      <c r="H64" s="1"/>
    </row>
    <row r="65" spans="1:8" ht="25.5" customHeight="1" x14ac:dyDescent="0.3">
      <c r="A65" s="1" t="s">
        <v>411</v>
      </c>
      <c r="B65" s="1"/>
      <c r="C65" s="1"/>
      <c r="D65" s="1"/>
      <c r="E65" s="1"/>
      <c r="F65" s="1"/>
      <c r="G65" s="1"/>
      <c r="H65" s="1"/>
    </row>
    <row r="67" spans="1:8" x14ac:dyDescent="0.3">
      <c r="A67" s="15" t="s">
        <v>412</v>
      </c>
    </row>
    <row r="68" spans="1:8" x14ac:dyDescent="0.3">
      <c r="A68" s="31" t="s">
        <v>413</v>
      </c>
      <c r="B68" s="32" t="s">
        <v>414</v>
      </c>
      <c r="C68" s="32" t="s">
        <v>415</v>
      </c>
    </row>
    <row r="69" spans="1:8" x14ac:dyDescent="0.3">
      <c r="A69" s="5" t="s">
        <v>416</v>
      </c>
      <c r="B69" s="23">
        <f>B10-(B11+B12+B13)</f>
        <v>0</v>
      </c>
      <c r="C69" s="19" t="str">
        <f t="shared" ref="C69:C79" si="5">IF(B69=0,"OK","Check")</f>
        <v>OK</v>
      </c>
    </row>
    <row r="70" spans="1:8" x14ac:dyDescent="0.3">
      <c r="A70" s="5" t="s">
        <v>417</v>
      </c>
      <c r="B70" s="23">
        <f>SUM(B33:B36)-(B12+B13)</f>
        <v>0</v>
      </c>
      <c r="C70" s="19" t="str">
        <f t="shared" si="5"/>
        <v>OK</v>
      </c>
    </row>
    <row r="71" spans="1:8" x14ac:dyDescent="0.3">
      <c r="A71" s="5" t="s">
        <v>418</v>
      </c>
      <c r="B71" s="23">
        <f>SUM(E22:E29)-(B12+B13)</f>
        <v>0</v>
      </c>
      <c r="C71" s="19" t="str">
        <f t="shared" si="5"/>
        <v>OK</v>
      </c>
    </row>
    <row r="72" spans="1:8" x14ac:dyDescent="0.3">
      <c r="A72" s="5" t="s">
        <v>419</v>
      </c>
      <c r="B72" s="23">
        <f>B14-COUNTIFS(tblOnboarding[Status],"&lt;&gt;Completed",tblOnboarding[Due Date],"&lt;"&amp;ReportDate)</f>
        <v>0</v>
      </c>
      <c r="C72" s="19" t="str">
        <f t="shared" si="5"/>
        <v>OK</v>
      </c>
    </row>
    <row r="73" spans="1:8" x14ac:dyDescent="0.3">
      <c r="A73" s="5" t="s">
        <v>420</v>
      </c>
      <c r="B73" s="23">
        <f>COUNTIF(tblOnboarding[Employee Name],"ID not found")</f>
        <v>0</v>
      </c>
      <c r="C73" s="19" t="str">
        <f t="shared" si="5"/>
        <v>OK</v>
      </c>
    </row>
    <row r="74" spans="1:8" x14ac:dyDescent="0.3">
      <c r="A74" s="5" t="s">
        <v>421</v>
      </c>
      <c r="B74" s="23">
        <f>COUNTIF(tblDocuments[Employee Name],"ID not found")</f>
        <v>0</v>
      </c>
      <c r="C74" s="19" t="str">
        <f t="shared" si="5"/>
        <v>OK</v>
      </c>
    </row>
    <row r="75" spans="1:8" x14ac:dyDescent="0.3">
      <c r="A75" s="5" t="s">
        <v>422</v>
      </c>
      <c r="B75" s="23">
        <f>B57-SUM(B53:B56)</f>
        <v>0</v>
      </c>
      <c r="C75" s="19" t="str">
        <f t="shared" si="5"/>
        <v>OK</v>
      </c>
    </row>
    <row r="76" spans="1:8" x14ac:dyDescent="0.3">
      <c r="A76" s="5" t="s">
        <v>423</v>
      </c>
      <c r="B76" s="23">
        <f>COUNTIFS(tblOnboarding[Status],"Completed",tblOnboarding[Completion Date],"")</f>
        <v>0</v>
      </c>
      <c r="C76" s="19" t="str">
        <f t="shared" si="5"/>
        <v>OK</v>
      </c>
    </row>
    <row r="77" spans="1:8" x14ac:dyDescent="0.3">
      <c r="A77" s="5" t="s">
        <v>424</v>
      </c>
      <c r="B77" s="23">
        <f>COUNTIFS(tblOnboarding[Status],"&lt;&gt;Completed",tblOnboarding[Completion Date],"&lt;&gt;")</f>
        <v>0</v>
      </c>
      <c r="C77" s="19" t="str">
        <f t="shared" si="5"/>
        <v>OK</v>
      </c>
    </row>
    <row r="78" spans="1:8" x14ac:dyDescent="0.3">
      <c r="A78" s="5" t="s">
        <v>425</v>
      </c>
      <c r="B78" s="23">
        <f>COUNTIFS(tblDocuments[Submission Status],"Not Submitted",tblDocuments[Verification Status],"Verified")+COUNTIFS(tblDocuments[Submission Status],"Not Submitted",tblDocuments[Verification Status],"Needs Resubmission")</f>
        <v>0</v>
      </c>
      <c r="C78" s="19" t="str">
        <f t="shared" si="5"/>
        <v>OK</v>
      </c>
    </row>
    <row r="79" spans="1:8" x14ac:dyDescent="0.3">
      <c r="A79" s="5" t="s">
        <v>426</v>
      </c>
      <c r="B79" s="23">
        <f>ROWS(tblEmployees[Employee ID])-COUNTIF($A$96:$A$155,"?*")</f>
        <v>0</v>
      </c>
      <c r="C79" s="19" t="str">
        <f t="shared" si="5"/>
        <v>OK</v>
      </c>
    </row>
    <row r="82" spans="1:7" x14ac:dyDescent="0.3">
      <c r="A82" s="15" t="s">
        <v>427</v>
      </c>
    </row>
    <row r="83" spans="1:7" x14ac:dyDescent="0.3">
      <c r="A83" s="36" t="s">
        <v>428</v>
      </c>
      <c r="B83" s="37" t="s">
        <v>386</v>
      </c>
      <c r="C83" s="37" t="s">
        <v>429</v>
      </c>
    </row>
    <row r="84" spans="1:7" x14ac:dyDescent="0.3">
      <c r="A84" s="5" t="str">
        <f>IF(Lists!A2="","",Lists!A2)</f>
        <v>Human Resources</v>
      </c>
      <c r="B84" s="26">
        <f>IF(A84="","",COUNTIFS(tblOnboarding[Department],A84,tblOnboarding[Status],"&lt;&gt;Completed"))</f>
        <v>1</v>
      </c>
      <c r="C84" s="27">
        <f t="shared" ref="C84:C91" si="6">IF(A84="","",B84+(1000-ROW())/100000)</f>
        <v>1.0091600000000001</v>
      </c>
    </row>
    <row r="85" spans="1:7" x14ac:dyDescent="0.3">
      <c r="A85" s="5" t="str">
        <f>IF(Lists!A3="","",Lists!A3)</f>
        <v>Operations</v>
      </c>
      <c r="B85" s="26">
        <f>IF(A85="","",COUNTIFS(tblOnboarding[Department],A85,tblOnboarding[Status],"&lt;&gt;Completed"))</f>
        <v>7</v>
      </c>
      <c r="C85" s="27">
        <f t="shared" si="6"/>
        <v>7.00915</v>
      </c>
    </row>
    <row r="86" spans="1:7" x14ac:dyDescent="0.3">
      <c r="A86" s="5" t="str">
        <f>IF(Lists!A4="","",Lists!A4)</f>
        <v>Finance</v>
      </c>
      <c r="B86" s="26">
        <f>IF(A86="","",COUNTIFS(tblOnboarding[Department],A86,tblOnboarding[Status],"&lt;&gt;Completed"))</f>
        <v>1</v>
      </c>
      <c r="C86" s="27">
        <f t="shared" si="6"/>
        <v>1.0091399999999999</v>
      </c>
    </row>
    <row r="87" spans="1:7" x14ac:dyDescent="0.3">
      <c r="A87" s="5" t="str">
        <f>IF(Lists!A5="","",Lists!A5)</f>
        <v>Sales</v>
      </c>
      <c r="B87" s="26">
        <f>IF(A87="","",COUNTIFS(tblOnboarding[Department],A87,tblOnboarding[Status],"&lt;&gt;Completed"))</f>
        <v>3</v>
      </c>
      <c r="C87" s="27">
        <f t="shared" si="6"/>
        <v>3.0091299999999999</v>
      </c>
    </row>
    <row r="88" spans="1:7" x14ac:dyDescent="0.3">
      <c r="A88" s="5" t="str">
        <f>IF(Lists!A6="","",Lists!A6)</f>
        <v>Marketing</v>
      </c>
      <c r="B88" s="26">
        <f>IF(A88="","",COUNTIFS(tblOnboarding[Department],A88,tblOnboarding[Status],"&lt;&gt;Completed"))</f>
        <v>11</v>
      </c>
      <c r="C88" s="27">
        <f t="shared" si="6"/>
        <v>11.009119999999999</v>
      </c>
    </row>
    <row r="89" spans="1:7" x14ac:dyDescent="0.3">
      <c r="A89" s="5" t="str">
        <f>IF(Lists!A7="","",Lists!A7)</f>
        <v>Information Technology</v>
      </c>
      <c r="B89" s="26">
        <f>IF(A89="","",COUNTIFS(tblOnboarding[Department],A89,tblOnboarding[Status],"&lt;&gt;Completed"))</f>
        <v>3</v>
      </c>
      <c r="C89" s="27">
        <f t="shared" si="6"/>
        <v>3.0091100000000002</v>
      </c>
    </row>
    <row r="90" spans="1:7" x14ac:dyDescent="0.3">
      <c r="A90" s="5" t="str">
        <f>IF(Lists!A8="","",Lists!A8)</f>
        <v>Customer Support</v>
      </c>
      <c r="B90" s="26">
        <f>IF(A90="","",COUNTIFS(tblOnboarding[Department],A90,tblOnboarding[Status],"&lt;&gt;Completed"))</f>
        <v>14</v>
      </c>
      <c r="C90" s="27">
        <f t="shared" si="6"/>
        <v>14.0091</v>
      </c>
    </row>
    <row r="91" spans="1:7" x14ac:dyDescent="0.3">
      <c r="A91" s="5" t="str">
        <f>IF(Lists!A9="","",Lists!A9)</f>
        <v>Administration</v>
      </c>
      <c r="B91" s="26">
        <f>IF(A91="","",COUNTIFS(tblOnboarding[Department],A91,tblOnboarding[Status],"&lt;&gt;Completed"))</f>
        <v>2</v>
      </c>
      <c r="C91" s="27">
        <f t="shared" si="6"/>
        <v>2.00909</v>
      </c>
    </row>
    <row r="94" spans="1:7" x14ac:dyDescent="0.3">
      <c r="A94" s="11" t="s">
        <v>430</v>
      </c>
    </row>
    <row r="95" spans="1:7" x14ac:dyDescent="0.3">
      <c r="A95" s="24" t="s">
        <v>0</v>
      </c>
      <c r="B95" s="24" t="s">
        <v>431</v>
      </c>
      <c r="C95" s="25" t="s">
        <v>391</v>
      </c>
      <c r="D95" s="25" t="s">
        <v>169</v>
      </c>
      <c r="E95" s="25" t="s">
        <v>382</v>
      </c>
      <c r="F95" s="25" t="s">
        <v>392</v>
      </c>
      <c r="G95" s="25" t="s">
        <v>429</v>
      </c>
    </row>
    <row r="96" spans="1:7" x14ac:dyDescent="0.3">
      <c r="A96" s="5" t="str">
        <f>IFERROR(INDEX(tblEmployees[Employee ID],ROWS(A$96:A96)),"")</f>
        <v>WBS-1007</v>
      </c>
      <c r="B96" s="5" t="str">
        <f>IFERROR(INDEX(tblEmployees[Employee Name],ROWS(A$96:A96)),"")</f>
        <v>Aishwarya Lokhande</v>
      </c>
      <c r="C96" s="26">
        <f>IF(A96="","",COUNTIF(tblOnboarding[Employee ID],A96))</f>
        <v>0</v>
      </c>
      <c r="D96" s="26">
        <f>IF(A96="","",COUNTIFS(tblOnboarding[Employee ID],A96,tblOnboarding[Status],"Completed"))</f>
        <v>0</v>
      </c>
      <c r="E96" s="26">
        <f t="shared" ref="E96:E127" si="7">IF(A96="","",C96-D96)</f>
        <v>0</v>
      </c>
      <c r="F96" s="21" t="str">
        <f t="shared" ref="F96:F127" si="8">IF(A96="","",IF(C96=0,"",D96/C96))</f>
        <v/>
      </c>
      <c r="G96" s="28" t="str">
        <f t="shared" ref="G96:G127" si="9">IF(A96="","",IF(AND(C96&gt;0,E96&gt;0),F96+ROW()/10000000,""))</f>
        <v/>
      </c>
    </row>
    <row r="97" spans="1:7" x14ac:dyDescent="0.3">
      <c r="A97" s="5" t="str">
        <f>IFERROR(INDEX(tblEmployees[Employee ID],ROWS(A$96:A97)),"")</f>
        <v>WBS-1048</v>
      </c>
      <c r="B97" s="5" t="str">
        <f>IFERROR(INDEX(tblEmployees[Employee Name],ROWS(A$96:A97)),"")</f>
        <v>Ajinkya Jadhav</v>
      </c>
      <c r="C97" s="26">
        <f>IF(A97="","",COUNTIF(tblOnboarding[Employee ID],A97))</f>
        <v>8</v>
      </c>
      <c r="D97" s="26">
        <f>IF(A97="","",COUNTIFS(tblOnboarding[Employee ID],A97,tblOnboarding[Status],"Completed"))</f>
        <v>4</v>
      </c>
      <c r="E97" s="26">
        <f t="shared" si="7"/>
        <v>4</v>
      </c>
      <c r="F97" s="21">
        <f t="shared" si="8"/>
        <v>0.5</v>
      </c>
      <c r="G97" s="28">
        <f t="shared" si="9"/>
        <v>0.5000097</v>
      </c>
    </row>
    <row r="98" spans="1:7" x14ac:dyDescent="0.3">
      <c r="A98" s="5" t="str">
        <f>IFERROR(INDEX(tblEmployees[Employee ID],ROWS(A$96:A98)),"")</f>
        <v>WBS-1008</v>
      </c>
      <c r="B98" s="5" t="str">
        <f>IFERROR(INDEX(tblEmployees[Employee Name],ROWS(A$96:A98)),"")</f>
        <v>Akash Chavan</v>
      </c>
      <c r="C98" s="26">
        <f>IF(A98="","",COUNTIF(tblOnboarding[Employee ID],A98))</f>
        <v>0</v>
      </c>
      <c r="D98" s="26">
        <f>IF(A98="","",COUNTIFS(tblOnboarding[Employee ID],A98,tblOnboarding[Status],"Completed"))</f>
        <v>0</v>
      </c>
      <c r="E98" s="26">
        <f t="shared" si="7"/>
        <v>0</v>
      </c>
      <c r="F98" s="21" t="str">
        <f t="shared" si="8"/>
        <v/>
      </c>
      <c r="G98" s="28" t="str">
        <f t="shared" si="9"/>
        <v/>
      </c>
    </row>
    <row r="99" spans="1:7" x14ac:dyDescent="0.3">
      <c r="A99" s="5" t="str">
        <f>IFERROR(INDEX(tblEmployees[Employee ID],ROWS(A$96:A99)),"")</f>
        <v>WBS-1040</v>
      </c>
      <c r="B99" s="5" t="str">
        <f>IFERROR(INDEX(tblEmployees[Employee Name],ROWS(A$96:A99)),"")</f>
        <v>Amey Joshi</v>
      </c>
      <c r="C99" s="26">
        <f>IF(A99="","",COUNTIF(tblOnboarding[Employee ID],A99))</f>
        <v>8</v>
      </c>
      <c r="D99" s="26">
        <f>IF(A99="","",COUNTIFS(tblOnboarding[Employee ID],A99,tblOnboarding[Status],"Completed"))</f>
        <v>7</v>
      </c>
      <c r="E99" s="26">
        <f t="shared" si="7"/>
        <v>1</v>
      </c>
      <c r="F99" s="21">
        <f t="shared" si="8"/>
        <v>0.875</v>
      </c>
      <c r="G99" s="28">
        <f t="shared" si="9"/>
        <v>0.87500990000000001</v>
      </c>
    </row>
    <row r="100" spans="1:7" x14ac:dyDescent="0.3">
      <c r="A100" s="5" t="str">
        <f>IFERROR(INDEX(tblEmployees[Employee ID],ROWS(A$96:A100)),"")</f>
        <v>WBS-1042</v>
      </c>
      <c r="B100" s="5" t="str">
        <f>IFERROR(INDEX(tblEmployees[Employee Name],ROWS(A$96:A100)),"")</f>
        <v>Apeksha Bansal</v>
      </c>
      <c r="C100" s="26">
        <f>IF(A100="","",COUNTIF(tblOnboarding[Employee ID],A100))</f>
        <v>0</v>
      </c>
      <c r="D100" s="26">
        <f>IF(A100="","",COUNTIFS(tblOnboarding[Employee ID],A100,tblOnboarding[Status],"Completed"))</f>
        <v>0</v>
      </c>
      <c r="E100" s="26">
        <f t="shared" si="7"/>
        <v>0</v>
      </c>
      <c r="F100" s="21" t="str">
        <f t="shared" si="8"/>
        <v/>
      </c>
      <c r="G100" s="28" t="str">
        <f t="shared" si="9"/>
        <v/>
      </c>
    </row>
    <row r="101" spans="1:7" x14ac:dyDescent="0.3">
      <c r="A101" s="5" t="str">
        <f>IFERROR(INDEX(tblEmployees[Employee ID],ROWS(A$96:A101)),"")</f>
        <v>WBS-1016</v>
      </c>
      <c r="B101" s="5" t="str">
        <f>IFERROR(INDEX(tblEmployees[Employee Name],ROWS(A$96:A101)),"")</f>
        <v>Archana Mane</v>
      </c>
      <c r="C101" s="26">
        <f>IF(A101="","",COUNTIF(tblOnboarding[Employee ID],A101))</f>
        <v>0</v>
      </c>
      <c r="D101" s="26">
        <f>IF(A101="","",COUNTIFS(tblOnboarding[Employee ID],A101,tblOnboarding[Status],"Completed"))</f>
        <v>0</v>
      </c>
      <c r="E101" s="26">
        <f t="shared" si="7"/>
        <v>0</v>
      </c>
      <c r="F101" s="21" t="str">
        <f t="shared" si="8"/>
        <v/>
      </c>
      <c r="G101" s="28" t="str">
        <f t="shared" si="9"/>
        <v/>
      </c>
    </row>
    <row r="102" spans="1:7" x14ac:dyDescent="0.3">
      <c r="A102" s="5" t="str">
        <f>IFERROR(INDEX(tblEmployees[Employee ID],ROWS(A$96:A102)),"")</f>
        <v>WBS-1028</v>
      </c>
      <c r="B102" s="5" t="str">
        <f>IFERROR(INDEX(tblEmployees[Employee Name],ROWS(A$96:A102)),"")</f>
        <v>Bhavna Chaudhari</v>
      </c>
      <c r="C102" s="26">
        <f>IF(A102="","",COUNTIF(tblOnboarding[Employee ID],A102))</f>
        <v>0</v>
      </c>
      <c r="D102" s="26">
        <f>IF(A102="","",COUNTIFS(tblOnboarding[Employee ID],A102,tblOnboarding[Status],"Completed"))</f>
        <v>0</v>
      </c>
      <c r="E102" s="26">
        <f t="shared" si="7"/>
        <v>0</v>
      </c>
      <c r="F102" s="21" t="str">
        <f t="shared" si="8"/>
        <v/>
      </c>
      <c r="G102" s="28" t="str">
        <f t="shared" si="9"/>
        <v/>
      </c>
    </row>
    <row r="103" spans="1:7" x14ac:dyDescent="0.3">
      <c r="A103" s="5" t="str">
        <f>IFERROR(INDEX(tblEmployees[Employee ID],ROWS(A$96:A103)),"")</f>
        <v>WBS-1010</v>
      </c>
      <c r="B103" s="5" t="str">
        <f>IFERROR(INDEX(tblEmployees[Employee Name],ROWS(A$96:A103)),"")</f>
        <v>Deepak More</v>
      </c>
      <c r="C103" s="26">
        <f>IF(A103="","",COUNTIF(tblOnboarding[Employee ID],A103))</f>
        <v>0</v>
      </c>
      <c r="D103" s="26">
        <f>IF(A103="","",COUNTIFS(tblOnboarding[Employee ID],A103,tblOnboarding[Status],"Completed"))</f>
        <v>0</v>
      </c>
      <c r="E103" s="26">
        <f t="shared" si="7"/>
        <v>0</v>
      </c>
      <c r="F103" s="21" t="str">
        <f t="shared" si="8"/>
        <v/>
      </c>
      <c r="G103" s="28" t="str">
        <f t="shared" si="9"/>
        <v/>
      </c>
    </row>
    <row r="104" spans="1:7" x14ac:dyDescent="0.3">
      <c r="A104" s="5" t="str">
        <f>IFERROR(INDEX(tblEmployees[Employee ID],ROWS(A$96:A104)),"")</f>
        <v>WBS-1009</v>
      </c>
      <c r="B104" s="5" t="str">
        <f>IFERROR(INDEX(tblEmployees[Employee Name],ROWS(A$96:A104)),"")</f>
        <v>Dhruv Mehta</v>
      </c>
      <c r="C104" s="26">
        <f>IF(A104="","",COUNTIF(tblOnboarding[Employee ID],A104))</f>
        <v>0</v>
      </c>
      <c r="D104" s="26">
        <f>IF(A104="","",COUNTIFS(tblOnboarding[Employee ID],A104,tblOnboarding[Status],"Completed"))</f>
        <v>0</v>
      </c>
      <c r="E104" s="26">
        <f t="shared" si="7"/>
        <v>0</v>
      </c>
      <c r="F104" s="21" t="str">
        <f t="shared" si="8"/>
        <v/>
      </c>
      <c r="G104" s="28" t="str">
        <f t="shared" si="9"/>
        <v/>
      </c>
    </row>
    <row r="105" spans="1:7" x14ac:dyDescent="0.3">
      <c r="A105" s="5" t="str">
        <f>IFERROR(INDEX(tblEmployees[Employee ID],ROWS(A$96:A105)),"")</f>
        <v>WBS-1050</v>
      </c>
      <c r="B105" s="5" t="str">
        <f>IFERROR(INDEX(tblEmployees[Employee Name],ROWS(A$96:A105)),"")</f>
        <v>Dipti Mane</v>
      </c>
      <c r="C105" s="26">
        <f>IF(A105="","",COUNTIF(tblOnboarding[Employee ID],A105))</f>
        <v>8</v>
      </c>
      <c r="D105" s="26">
        <f>IF(A105="","",COUNTIFS(tblOnboarding[Employee ID],A105,tblOnboarding[Status],"Completed"))</f>
        <v>1</v>
      </c>
      <c r="E105" s="26">
        <f t="shared" si="7"/>
        <v>7</v>
      </c>
      <c r="F105" s="21">
        <f t="shared" si="8"/>
        <v>0.125</v>
      </c>
      <c r="G105" s="28">
        <f t="shared" si="9"/>
        <v>0.1250105</v>
      </c>
    </row>
    <row r="106" spans="1:7" x14ac:dyDescent="0.3">
      <c r="A106" s="5" t="str">
        <f>IFERROR(INDEX(tblEmployees[Employee ID],ROWS(A$96:A106)),"")</f>
        <v>WBS-1015</v>
      </c>
      <c r="B106" s="5" t="str">
        <f>IFERROR(INDEX(tblEmployees[Employee Name],ROWS(A$96:A106)),"")</f>
        <v>Divya Iyer</v>
      </c>
      <c r="C106" s="26">
        <f>IF(A106="","",COUNTIF(tblOnboarding[Employee ID],A106))</f>
        <v>0</v>
      </c>
      <c r="D106" s="26">
        <f>IF(A106="","",COUNTIFS(tblOnboarding[Employee ID],A106,tblOnboarding[Status],"Completed"))</f>
        <v>0</v>
      </c>
      <c r="E106" s="26">
        <f t="shared" si="7"/>
        <v>0</v>
      </c>
      <c r="F106" s="21" t="str">
        <f t="shared" si="8"/>
        <v/>
      </c>
      <c r="G106" s="28" t="str">
        <f t="shared" si="9"/>
        <v/>
      </c>
    </row>
    <row r="107" spans="1:7" x14ac:dyDescent="0.3">
      <c r="A107" s="5" t="str">
        <f>IFERROR(INDEX(tblEmployees[Employee ID],ROWS(A$96:A107)),"")</f>
        <v>WBS-1029</v>
      </c>
      <c r="B107" s="5" t="str">
        <f>IFERROR(INDEX(tblEmployees[Employee Name],ROWS(A$96:A107)),"")</f>
        <v>Gaurav Shetty</v>
      </c>
      <c r="C107" s="26">
        <f>IF(A107="","",COUNTIF(tblOnboarding[Employee ID],A107))</f>
        <v>0</v>
      </c>
      <c r="D107" s="26">
        <f>IF(A107="","",COUNTIFS(tblOnboarding[Employee ID],A107,tblOnboarding[Status],"Completed"))</f>
        <v>0</v>
      </c>
      <c r="E107" s="26">
        <f t="shared" si="7"/>
        <v>0</v>
      </c>
      <c r="F107" s="21" t="str">
        <f t="shared" si="8"/>
        <v/>
      </c>
      <c r="G107" s="28" t="str">
        <f t="shared" si="9"/>
        <v/>
      </c>
    </row>
    <row r="108" spans="1:7" x14ac:dyDescent="0.3">
      <c r="A108" s="5" t="str">
        <f>IFERROR(INDEX(tblEmployees[Employee ID],ROWS(A$96:A108)),"")</f>
        <v>WBS-1001</v>
      </c>
      <c r="B108" s="5" t="str">
        <f>IFERROR(INDEX(tblEmployees[Employee Name],ROWS(A$96:A108)),"")</f>
        <v>Isha Mehta</v>
      </c>
      <c r="C108" s="26">
        <f>IF(A108="","",COUNTIF(tblOnboarding[Employee ID],A108))</f>
        <v>0</v>
      </c>
      <c r="D108" s="26">
        <f>IF(A108="","",COUNTIFS(tblOnboarding[Employee ID],A108,tblOnboarding[Status],"Completed"))</f>
        <v>0</v>
      </c>
      <c r="E108" s="26">
        <f t="shared" si="7"/>
        <v>0</v>
      </c>
      <c r="F108" s="21" t="str">
        <f t="shared" si="8"/>
        <v/>
      </c>
      <c r="G108" s="28" t="str">
        <f t="shared" si="9"/>
        <v/>
      </c>
    </row>
    <row r="109" spans="1:7" x14ac:dyDescent="0.3">
      <c r="A109" s="5" t="str">
        <f>IFERROR(INDEX(tblEmployees[Employee ID],ROWS(A$96:A109)),"")</f>
        <v>WBS-1034</v>
      </c>
      <c r="B109" s="5" t="str">
        <f>IFERROR(INDEX(tblEmployees[Employee Name],ROWS(A$96:A109)),"")</f>
        <v>Karan Pawar</v>
      </c>
      <c r="C109" s="26">
        <f>IF(A109="","",COUNTIF(tblOnboarding[Employee ID],A109))</f>
        <v>8</v>
      </c>
      <c r="D109" s="26">
        <f>IF(A109="","",COUNTIFS(tblOnboarding[Employee ID],A109,tblOnboarding[Status],"Completed"))</f>
        <v>7</v>
      </c>
      <c r="E109" s="26">
        <f t="shared" si="7"/>
        <v>1</v>
      </c>
      <c r="F109" s="21">
        <f t="shared" si="8"/>
        <v>0.875</v>
      </c>
      <c r="G109" s="28">
        <f t="shared" si="9"/>
        <v>0.87501090000000004</v>
      </c>
    </row>
    <row r="110" spans="1:7" x14ac:dyDescent="0.3">
      <c r="A110" s="5" t="str">
        <f>IFERROR(INDEX(tblEmployees[Employee ID],ROWS(A$96:A110)),"")</f>
        <v>WBS-1046</v>
      </c>
      <c r="B110" s="5" t="str">
        <f>IFERROR(INDEX(tblEmployees[Employee Name],ROWS(A$96:A110)),"")</f>
        <v>Kavya Pawar</v>
      </c>
      <c r="C110" s="26">
        <f>IF(A110="","",COUNTIF(tblOnboarding[Employee ID],A110))</f>
        <v>8</v>
      </c>
      <c r="D110" s="26">
        <f>IF(A110="","",COUNTIFS(tblOnboarding[Employee ID],A110,tblOnboarding[Status],"Completed"))</f>
        <v>7</v>
      </c>
      <c r="E110" s="26">
        <f t="shared" si="7"/>
        <v>1</v>
      </c>
      <c r="F110" s="21">
        <f t="shared" si="8"/>
        <v>0.875</v>
      </c>
      <c r="G110" s="28">
        <f t="shared" si="9"/>
        <v>0.87501099999999998</v>
      </c>
    </row>
    <row r="111" spans="1:7" x14ac:dyDescent="0.3">
      <c r="A111" s="5" t="str">
        <f>IFERROR(INDEX(tblEmployees[Employee ID],ROWS(A$96:A111)),"")</f>
        <v>WBS-1004</v>
      </c>
      <c r="B111" s="5" t="str">
        <f>IFERROR(INDEX(tblEmployees[Employee Name],ROWS(A$96:A111)),"")</f>
        <v>Kedar Menon</v>
      </c>
      <c r="C111" s="26">
        <f>IF(A111="","",COUNTIF(tblOnboarding[Employee ID],A111))</f>
        <v>0</v>
      </c>
      <c r="D111" s="26">
        <f>IF(A111="","",COUNTIFS(tblOnboarding[Employee ID],A111,tblOnboarding[Status],"Completed"))</f>
        <v>0</v>
      </c>
      <c r="E111" s="26">
        <f t="shared" si="7"/>
        <v>0</v>
      </c>
      <c r="F111" s="21" t="str">
        <f t="shared" si="8"/>
        <v/>
      </c>
      <c r="G111" s="28" t="str">
        <f t="shared" si="9"/>
        <v/>
      </c>
    </row>
    <row r="112" spans="1:7" x14ac:dyDescent="0.3">
      <c r="A112" s="5" t="str">
        <f>IFERROR(INDEX(tblEmployees[Employee ID],ROWS(A$96:A112)),"")</f>
        <v>WBS-1011</v>
      </c>
      <c r="B112" s="5" t="str">
        <f>IFERROR(INDEX(tblEmployees[Employee Name],ROWS(A$96:A112)),"")</f>
        <v>Ketan Gupta</v>
      </c>
      <c r="C112" s="26">
        <f>IF(A112="","",COUNTIF(tblOnboarding[Employee ID],A112))</f>
        <v>0</v>
      </c>
      <c r="D112" s="26">
        <f>IF(A112="","",COUNTIFS(tblOnboarding[Employee ID],A112,tblOnboarding[Status],"Completed"))</f>
        <v>0</v>
      </c>
      <c r="E112" s="26">
        <f t="shared" si="7"/>
        <v>0</v>
      </c>
      <c r="F112" s="21" t="str">
        <f t="shared" si="8"/>
        <v/>
      </c>
      <c r="G112" s="28" t="str">
        <f t="shared" si="9"/>
        <v/>
      </c>
    </row>
    <row r="113" spans="1:7" x14ac:dyDescent="0.3">
      <c r="A113" s="5" t="str">
        <f>IFERROR(INDEX(tblEmployees[Employee ID],ROWS(A$96:A113)),"")</f>
        <v>WBS-1027</v>
      </c>
      <c r="B113" s="5" t="str">
        <f>IFERROR(INDEX(tblEmployees[Employee Name],ROWS(A$96:A113)),"")</f>
        <v>Komal Ghosh</v>
      </c>
      <c r="C113" s="26">
        <f>IF(A113="","",COUNTIF(tblOnboarding[Employee ID],A113))</f>
        <v>0</v>
      </c>
      <c r="D113" s="26">
        <f>IF(A113="","",COUNTIFS(tblOnboarding[Employee ID],A113,tblOnboarding[Status],"Completed"))</f>
        <v>0</v>
      </c>
      <c r="E113" s="26">
        <f t="shared" si="7"/>
        <v>0</v>
      </c>
      <c r="F113" s="21" t="str">
        <f t="shared" si="8"/>
        <v/>
      </c>
      <c r="G113" s="28" t="str">
        <f t="shared" si="9"/>
        <v/>
      </c>
    </row>
    <row r="114" spans="1:7" x14ac:dyDescent="0.3">
      <c r="A114" s="5" t="str">
        <f>IFERROR(INDEX(tblEmployees[Employee ID],ROWS(A$96:A114)),"")</f>
        <v>WBS-1005</v>
      </c>
      <c r="B114" s="5" t="str">
        <f>IFERROR(INDEX(tblEmployees[Employee Name],ROWS(A$96:A114)),"")</f>
        <v>Madhuri Jadhav</v>
      </c>
      <c r="C114" s="26">
        <f>IF(A114="","",COUNTIF(tblOnboarding[Employee ID],A114))</f>
        <v>0</v>
      </c>
      <c r="D114" s="26">
        <f>IF(A114="","",COUNTIFS(tblOnboarding[Employee ID],A114,tblOnboarding[Status],"Completed"))</f>
        <v>0</v>
      </c>
      <c r="E114" s="26">
        <f t="shared" si="7"/>
        <v>0</v>
      </c>
      <c r="F114" s="21" t="str">
        <f t="shared" si="8"/>
        <v/>
      </c>
      <c r="G114" s="28" t="str">
        <f t="shared" si="9"/>
        <v/>
      </c>
    </row>
    <row r="115" spans="1:7" x14ac:dyDescent="0.3">
      <c r="A115" s="5" t="str">
        <f>IFERROR(INDEX(tblEmployees[Employee ID],ROWS(A$96:A115)),"")</f>
        <v>WBS-1039</v>
      </c>
      <c r="B115" s="5" t="str">
        <f>IFERROR(INDEX(tblEmployees[Employee Name],ROWS(A$96:A115)),"")</f>
        <v>Manoj Nair</v>
      </c>
      <c r="C115" s="26">
        <f>IF(A115="","",COUNTIF(tblOnboarding[Employee ID],A115))</f>
        <v>8</v>
      </c>
      <c r="D115" s="26">
        <f>IF(A115="","",COUNTIFS(tblOnboarding[Employee ID],A115,tblOnboarding[Status],"Completed"))</f>
        <v>7</v>
      </c>
      <c r="E115" s="26">
        <f t="shared" si="7"/>
        <v>1</v>
      </c>
      <c r="F115" s="21">
        <f t="shared" si="8"/>
        <v>0.875</v>
      </c>
      <c r="G115" s="28">
        <f t="shared" si="9"/>
        <v>0.87501150000000005</v>
      </c>
    </row>
    <row r="116" spans="1:7" x14ac:dyDescent="0.3">
      <c r="A116" s="5" t="str">
        <f>IFERROR(INDEX(tblEmployees[Employee ID],ROWS(A$96:A116)),"")</f>
        <v>WBS-1019</v>
      </c>
      <c r="B116" s="5" t="str">
        <f>IFERROR(INDEX(tblEmployees[Employee Name],ROWS(A$96:A116)),"")</f>
        <v>Mayur Shetty</v>
      </c>
      <c r="C116" s="26">
        <f>IF(A116="","",COUNTIF(tblOnboarding[Employee ID],A116))</f>
        <v>0</v>
      </c>
      <c r="D116" s="26">
        <f>IF(A116="","",COUNTIFS(tblOnboarding[Employee ID],A116,tblOnboarding[Status],"Completed"))</f>
        <v>0</v>
      </c>
      <c r="E116" s="26">
        <f t="shared" si="7"/>
        <v>0</v>
      </c>
      <c r="F116" s="21" t="str">
        <f t="shared" si="8"/>
        <v/>
      </c>
      <c r="G116" s="28" t="str">
        <f t="shared" si="9"/>
        <v/>
      </c>
    </row>
    <row r="117" spans="1:7" x14ac:dyDescent="0.3">
      <c r="A117" s="5" t="str">
        <f>IFERROR(INDEX(tblEmployees[Employee ID],ROWS(A$96:A117)),"")</f>
        <v>WBS-1023</v>
      </c>
      <c r="B117" s="5" t="str">
        <f>IFERROR(INDEX(tblEmployees[Employee Name],ROWS(A$96:A117)),"")</f>
        <v>Mrunal Bhosale</v>
      </c>
      <c r="C117" s="26">
        <f>IF(A117="","",COUNTIF(tblOnboarding[Employee ID],A117))</f>
        <v>0</v>
      </c>
      <c r="D117" s="26">
        <f>IF(A117="","",COUNTIFS(tblOnboarding[Employee ID],A117,tblOnboarding[Status],"Completed"))</f>
        <v>0</v>
      </c>
      <c r="E117" s="26">
        <f t="shared" si="7"/>
        <v>0</v>
      </c>
      <c r="F117" s="21" t="str">
        <f t="shared" si="8"/>
        <v/>
      </c>
      <c r="G117" s="28" t="str">
        <f t="shared" si="9"/>
        <v/>
      </c>
    </row>
    <row r="118" spans="1:7" x14ac:dyDescent="0.3">
      <c r="A118" s="5" t="str">
        <f>IFERROR(INDEX(tblEmployees[Employee ID],ROWS(A$96:A118)),"")</f>
        <v>WBS-1017</v>
      </c>
      <c r="B118" s="5" t="str">
        <f>IFERROR(INDEX(tblEmployees[Employee Name],ROWS(A$96:A118)),"")</f>
        <v>Nandini Naik</v>
      </c>
      <c r="C118" s="26">
        <f>IF(A118="","",COUNTIF(tblOnboarding[Employee ID],A118))</f>
        <v>0</v>
      </c>
      <c r="D118" s="26">
        <f>IF(A118="","",COUNTIFS(tblOnboarding[Employee ID],A118,tblOnboarding[Status],"Completed"))</f>
        <v>0</v>
      </c>
      <c r="E118" s="26">
        <f t="shared" si="7"/>
        <v>0</v>
      </c>
      <c r="F118" s="21" t="str">
        <f t="shared" si="8"/>
        <v/>
      </c>
      <c r="G118" s="28" t="str">
        <f t="shared" si="9"/>
        <v/>
      </c>
    </row>
    <row r="119" spans="1:7" x14ac:dyDescent="0.3">
      <c r="A119" s="5" t="str">
        <f>IFERROR(INDEX(tblEmployees[Employee ID],ROWS(A$96:A119)),"")</f>
        <v>WBS-1003</v>
      </c>
      <c r="B119" s="5" t="str">
        <f>IFERROR(INDEX(tblEmployees[Employee Name],ROWS(A$96:A119)),"")</f>
        <v>Neha Wagh</v>
      </c>
      <c r="C119" s="26">
        <f>IF(A119="","",COUNTIF(tblOnboarding[Employee ID],A119))</f>
        <v>0</v>
      </c>
      <c r="D119" s="26">
        <f>IF(A119="","",COUNTIFS(tblOnboarding[Employee ID],A119,tblOnboarding[Status],"Completed"))</f>
        <v>0</v>
      </c>
      <c r="E119" s="26">
        <f t="shared" si="7"/>
        <v>0</v>
      </c>
      <c r="F119" s="21" t="str">
        <f t="shared" si="8"/>
        <v/>
      </c>
      <c r="G119" s="28" t="str">
        <f t="shared" si="9"/>
        <v/>
      </c>
    </row>
    <row r="120" spans="1:7" x14ac:dyDescent="0.3">
      <c r="A120" s="5" t="str">
        <f>IFERROR(INDEX(tblEmployees[Employee ID],ROWS(A$96:A120)),"")</f>
        <v>WBS-1049</v>
      </c>
      <c r="B120" s="5" t="str">
        <f>IFERROR(INDEX(tblEmployees[Employee Name],ROWS(A$96:A120)),"")</f>
        <v>Nikhil More</v>
      </c>
      <c r="C120" s="26">
        <f>IF(A120="","",COUNTIF(tblOnboarding[Employee ID],A120))</f>
        <v>8</v>
      </c>
      <c r="D120" s="26">
        <f>IF(A120="","",COUNTIFS(tblOnboarding[Employee ID],A120,tblOnboarding[Status],"Completed"))</f>
        <v>1</v>
      </c>
      <c r="E120" s="26">
        <f t="shared" si="7"/>
        <v>7</v>
      </c>
      <c r="F120" s="21">
        <f t="shared" si="8"/>
        <v>0.125</v>
      </c>
      <c r="G120" s="28">
        <f t="shared" si="9"/>
        <v>0.12501200000000001</v>
      </c>
    </row>
    <row r="121" spans="1:7" x14ac:dyDescent="0.3">
      <c r="A121" s="5" t="str">
        <f>IFERROR(INDEX(tblEmployees[Employee ID],ROWS(A$96:A121)),"")</f>
        <v>WBS-1022</v>
      </c>
      <c r="B121" s="5" t="str">
        <f>IFERROR(INDEX(tblEmployees[Employee Name],ROWS(A$96:A121)),"")</f>
        <v>Omkar Kulkarni</v>
      </c>
      <c r="C121" s="26">
        <f>IF(A121="","",COUNTIF(tblOnboarding[Employee ID],A121))</f>
        <v>0</v>
      </c>
      <c r="D121" s="26">
        <f>IF(A121="","",COUNTIFS(tblOnboarding[Employee ID],A121,tblOnboarding[Status],"Completed"))</f>
        <v>0</v>
      </c>
      <c r="E121" s="26">
        <f t="shared" si="7"/>
        <v>0</v>
      </c>
      <c r="F121" s="21" t="str">
        <f t="shared" si="8"/>
        <v/>
      </c>
      <c r="G121" s="28" t="str">
        <f t="shared" si="9"/>
        <v/>
      </c>
    </row>
    <row r="122" spans="1:7" x14ac:dyDescent="0.3">
      <c r="A122" s="5" t="str">
        <f>IFERROR(INDEX(tblEmployees[Employee ID],ROWS(A$96:A122)),"")</f>
        <v>WBS-1018</v>
      </c>
      <c r="B122" s="5" t="str">
        <f>IFERROR(INDEX(tblEmployees[Employee Name],ROWS(A$96:A122)),"")</f>
        <v>Pallavi Deshmukh</v>
      </c>
      <c r="C122" s="26">
        <f>IF(A122="","",COUNTIF(tblOnboarding[Employee ID],A122))</f>
        <v>0</v>
      </c>
      <c r="D122" s="26">
        <f>IF(A122="","",COUNTIFS(tblOnboarding[Employee ID],A122,tblOnboarding[Status],"Completed"))</f>
        <v>0</v>
      </c>
      <c r="E122" s="26">
        <f t="shared" si="7"/>
        <v>0</v>
      </c>
      <c r="F122" s="21" t="str">
        <f t="shared" si="8"/>
        <v/>
      </c>
      <c r="G122" s="28" t="str">
        <f t="shared" si="9"/>
        <v/>
      </c>
    </row>
    <row r="123" spans="1:7" x14ac:dyDescent="0.3">
      <c r="A123" s="5" t="str">
        <f>IFERROR(INDEX(tblEmployees[Employee ID],ROWS(A$96:A123)),"")</f>
        <v>WBS-1037</v>
      </c>
      <c r="B123" s="5" t="str">
        <f>IFERROR(INDEX(tblEmployees[Employee Name],ROWS(A$96:A123)),"")</f>
        <v>Pooja Thakur</v>
      </c>
      <c r="C123" s="26">
        <f>IF(A123="","",COUNTIF(tblOnboarding[Employee ID],A123))</f>
        <v>8</v>
      </c>
      <c r="D123" s="26">
        <f>IF(A123="","",COUNTIFS(tblOnboarding[Employee ID],A123,tblOnboarding[Status],"Completed"))</f>
        <v>7</v>
      </c>
      <c r="E123" s="26">
        <f t="shared" si="7"/>
        <v>1</v>
      </c>
      <c r="F123" s="21">
        <f t="shared" si="8"/>
        <v>0.875</v>
      </c>
      <c r="G123" s="28">
        <f t="shared" si="9"/>
        <v>0.87501229999999997</v>
      </c>
    </row>
    <row r="124" spans="1:7" x14ac:dyDescent="0.3">
      <c r="A124" s="5" t="str">
        <f>IFERROR(INDEX(tblEmployees[Employee ID],ROWS(A$96:A124)),"")</f>
        <v>WBS-1041</v>
      </c>
      <c r="B124" s="5" t="str">
        <f>IFERROR(INDEX(tblEmployees[Employee Name],ROWS(A$96:A124)),"")</f>
        <v>Pranav Phadke</v>
      </c>
      <c r="C124" s="26">
        <f>IF(A124="","",COUNTIF(tblOnboarding[Employee ID],A124))</f>
        <v>8</v>
      </c>
      <c r="D124" s="26">
        <f>IF(A124="","",COUNTIFS(tblOnboarding[Employee ID],A124,tblOnboarding[Status],"Completed"))</f>
        <v>7</v>
      </c>
      <c r="E124" s="26">
        <f t="shared" si="7"/>
        <v>1</v>
      </c>
      <c r="F124" s="21">
        <f t="shared" si="8"/>
        <v>0.875</v>
      </c>
      <c r="G124" s="28">
        <f t="shared" si="9"/>
        <v>0.87501240000000002</v>
      </c>
    </row>
    <row r="125" spans="1:7" x14ac:dyDescent="0.3">
      <c r="A125" s="5" t="str">
        <f>IFERROR(INDEX(tblEmployees[Employee ID],ROWS(A$96:A125)),"")</f>
        <v>WBS-1045</v>
      </c>
      <c r="B125" s="5" t="str">
        <f>IFERROR(INDEX(tblEmployees[Employee Name],ROWS(A$96:A125)),"")</f>
        <v>Pratik Iyer</v>
      </c>
      <c r="C125" s="26">
        <f>IF(A125="","",COUNTIF(tblOnboarding[Employee ID],A125))</f>
        <v>8</v>
      </c>
      <c r="D125" s="26">
        <f>IF(A125="","",COUNTIFS(tblOnboarding[Employee ID],A125,tblOnboarding[Status],"Completed"))</f>
        <v>6</v>
      </c>
      <c r="E125" s="26">
        <f t="shared" si="7"/>
        <v>2</v>
      </c>
      <c r="F125" s="21">
        <f t="shared" si="8"/>
        <v>0.75</v>
      </c>
      <c r="G125" s="28">
        <f t="shared" si="9"/>
        <v>0.75001249999999997</v>
      </c>
    </row>
    <row r="126" spans="1:7" x14ac:dyDescent="0.3">
      <c r="A126" s="5" t="str">
        <f>IFERROR(INDEX(tblEmployees[Employee ID],ROWS(A$96:A126)),"")</f>
        <v>WBS-1036</v>
      </c>
      <c r="B126" s="5" t="str">
        <f>IFERROR(INDEX(tblEmployees[Employee Name],ROWS(A$96:A126)),"")</f>
        <v>Priya Kadam</v>
      </c>
      <c r="C126" s="26">
        <f>IF(A126="","",COUNTIF(tblOnboarding[Employee ID],A126))</f>
        <v>8</v>
      </c>
      <c r="D126" s="26">
        <f>IF(A126="","",COUNTIFS(tblOnboarding[Employee ID],A126,tblOnboarding[Status],"Completed"))</f>
        <v>5</v>
      </c>
      <c r="E126" s="26">
        <f t="shared" si="7"/>
        <v>3</v>
      </c>
      <c r="F126" s="21">
        <f t="shared" si="8"/>
        <v>0.625</v>
      </c>
      <c r="G126" s="28">
        <f t="shared" si="9"/>
        <v>0.62501260000000003</v>
      </c>
    </row>
    <row r="127" spans="1:7" x14ac:dyDescent="0.3">
      <c r="A127" s="5" t="str">
        <f>IFERROR(INDEX(tblEmployees[Employee ID],ROWS(A$96:A127)),"")</f>
        <v>WBS-1032</v>
      </c>
      <c r="B127" s="5" t="str">
        <f>IFERROR(INDEX(tblEmployees[Employee Name],ROWS(A$96:A127)),"")</f>
        <v>Ramesh Joshi</v>
      </c>
      <c r="C127" s="26">
        <f>IF(A127="","",COUNTIF(tblOnboarding[Employee ID],A127))</f>
        <v>0</v>
      </c>
      <c r="D127" s="26">
        <f>IF(A127="","",COUNTIFS(tblOnboarding[Employee ID],A127,tblOnboarding[Status],"Completed"))</f>
        <v>0</v>
      </c>
      <c r="E127" s="26">
        <f t="shared" si="7"/>
        <v>0</v>
      </c>
      <c r="F127" s="21" t="str">
        <f t="shared" si="8"/>
        <v/>
      </c>
      <c r="G127" s="28" t="str">
        <f t="shared" si="9"/>
        <v/>
      </c>
    </row>
    <row r="128" spans="1:7" x14ac:dyDescent="0.3">
      <c r="A128" s="5" t="str">
        <f>IFERROR(INDEX(tblEmployees[Employee ID],ROWS(A$96:A128)),"")</f>
        <v>WBS-1002</v>
      </c>
      <c r="B128" s="5" t="str">
        <f>IFERROR(INDEX(tblEmployees[Employee Name],ROWS(A$96:A128)),"")</f>
        <v>Riya Kulkarni</v>
      </c>
      <c r="C128" s="26">
        <f>IF(A128="","",COUNTIF(tblOnboarding[Employee ID],A128))</f>
        <v>0</v>
      </c>
      <c r="D128" s="26">
        <f>IF(A128="","",COUNTIFS(tblOnboarding[Employee ID],A128,tblOnboarding[Status],"Completed"))</f>
        <v>0</v>
      </c>
      <c r="E128" s="26">
        <f t="shared" ref="E128:E159" si="10">IF(A128="","",C128-D128)</f>
        <v>0</v>
      </c>
      <c r="F128" s="21" t="str">
        <f t="shared" ref="F128:F155" si="11">IF(A128="","",IF(C128=0,"",D128/C128))</f>
        <v/>
      </c>
      <c r="G128" s="28" t="str">
        <f t="shared" ref="G128:G159" si="12">IF(A128="","",IF(AND(C128&gt;0,E128&gt;0),F128+ROW()/10000000,""))</f>
        <v/>
      </c>
    </row>
    <row r="129" spans="1:7" x14ac:dyDescent="0.3">
      <c r="A129" s="5" t="str">
        <f>IFERROR(INDEX(tblEmployees[Employee ID],ROWS(A$96:A129)),"")</f>
        <v>WBS-1012</v>
      </c>
      <c r="B129" s="5" t="str">
        <f>IFERROR(INDEX(tblEmployees[Employee Name],ROWS(A$96:A129)),"")</f>
        <v>Rohan Kamat</v>
      </c>
      <c r="C129" s="26">
        <f>IF(A129="","",COUNTIF(tblOnboarding[Employee ID],A129))</f>
        <v>0</v>
      </c>
      <c r="D129" s="26">
        <f>IF(A129="","",COUNTIFS(tblOnboarding[Employee ID],A129,tblOnboarding[Status],"Completed"))</f>
        <v>0</v>
      </c>
      <c r="E129" s="26">
        <f t="shared" si="10"/>
        <v>0</v>
      </c>
      <c r="F129" s="21" t="str">
        <f t="shared" si="11"/>
        <v/>
      </c>
      <c r="G129" s="28" t="str">
        <f t="shared" si="12"/>
        <v/>
      </c>
    </row>
    <row r="130" spans="1:7" x14ac:dyDescent="0.3">
      <c r="A130" s="5" t="str">
        <f>IFERROR(INDEX(tblEmployees[Employee ID],ROWS(A$96:A130)),"")</f>
        <v>WBS-1044</v>
      </c>
      <c r="B130" s="5" t="str">
        <f>IFERROR(INDEX(tblEmployees[Employee Name],ROWS(A$96:A130)),"")</f>
        <v>Rutuja Sawant</v>
      </c>
      <c r="C130" s="26">
        <f>IF(A130="","",COUNTIF(tblOnboarding[Employee ID],A130))</f>
        <v>8</v>
      </c>
      <c r="D130" s="26">
        <f>IF(A130="","",COUNTIFS(tblOnboarding[Employee ID],A130,tblOnboarding[Status],"Completed"))</f>
        <v>6</v>
      </c>
      <c r="E130" s="26">
        <f t="shared" si="10"/>
        <v>2</v>
      </c>
      <c r="F130" s="21">
        <f t="shared" si="11"/>
        <v>0.75</v>
      </c>
      <c r="G130" s="28">
        <f t="shared" si="12"/>
        <v>0.75001300000000004</v>
      </c>
    </row>
    <row r="131" spans="1:7" x14ac:dyDescent="0.3">
      <c r="A131" s="5" t="str">
        <f>IFERROR(INDEX(tblEmployees[Employee ID],ROWS(A$96:A131)),"")</f>
        <v>WBS-1021</v>
      </c>
      <c r="B131" s="5" t="str">
        <f>IFERROR(INDEX(tblEmployees[Employee Name],ROWS(A$96:A131)),"")</f>
        <v>Sahil Wagh</v>
      </c>
      <c r="C131" s="26">
        <f>IF(A131="","",COUNTIF(tblOnboarding[Employee ID],A131))</f>
        <v>0</v>
      </c>
      <c r="D131" s="26">
        <f>IF(A131="","",COUNTIFS(tblOnboarding[Employee ID],A131,tblOnboarding[Status],"Completed"))</f>
        <v>0</v>
      </c>
      <c r="E131" s="26">
        <f t="shared" si="10"/>
        <v>0</v>
      </c>
      <c r="F131" s="21" t="str">
        <f t="shared" si="11"/>
        <v/>
      </c>
      <c r="G131" s="28" t="str">
        <f t="shared" si="12"/>
        <v/>
      </c>
    </row>
    <row r="132" spans="1:7" x14ac:dyDescent="0.3">
      <c r="A132" s="5" t="str">
        <f>IFERROR(INDEX(tblEmployees[Employee ID],ROWS(A$96:A132)),"")</f>
        <v>WBS-1030</v>
      </c>
      <c r="B132" s="5" t="str">
        <f>IFERROR(INDEX(tblEmployees[Employee Name],ROWS(A$96:A132)),"")</f>
        <v>Sakshi Lokhande</v>
      </c>
      <c r="C132" s="26">
        <f>IF(A132="","",COUNTIF(tblOnboarding[Employee ID],A132))</f>
        <v>0</v>
      </c>
      <c r="D132" s="26">
        <f>IF(A132="","",COUNTIFS(tblOnboarding[Employee ID],A132,tblOnboarding[Status],"Completed"))</f>
        <v>0</v>
      </c>
      <c r="E132" s="26">
        <f t="shared" si="10"/>
        <v>0</v>
      </c>
      <c r="F132" s="21" t="str">
        <f t="shared" si="11"/>
        <v/>
      </c>
      <c r="G132" s="28" t="str">
        <f t="shared" si="12"/>
        <v/>
      </c>
    </row>
    <row r="133" spans="1:7" x14ac:dyDescent="0.3">
      <c r="A133" s="5" t="str">
        <f>IFERROR(INDEX(tblEmployees[Employee ID],ROWS(A$96:A133)),"")</f>
        <v>WBS-1013</v>
      </c>
      <c r="B133" s="5" t="str">
        <f>IFERROR(INDEX(tblEmployees[Employee Name],ROWS(A$96:A133)),"")</f>
        <v>Saurabh Patil</v>
      </c>
      <c r="C133" s="26">
        <f>IF(A133="","",COUNTIF(tblOnboarding[Employee ID],A133))</f>
        <v>0</v>
      </c>
      <c r="D133" s="26">
        <f>IF(A133="","",COUNTIFS(tblOnboarding[Employee ID],A133,tblOnboarding[Status],"Completed"))</f>
        <v>0</v>
      </c>
      <c r="E133" s="26">
        <f t="shared" si="10"/>
        <v>0</v>
      </c>
      <c r="F133" s="21" t="str">
        <f t="shared" si="11"/>
        <v/>
      </c>
      <c r="G133" s="28" t="str">
        <f t="shared" si="12"/>
        <v/>
      </c>
    </row>
    <row r="134" spans="1:7" x14ac:dyDescent="0.3">
      <c r="A134" s="5" t="str">
        <f>IFERROR(INDEX(tblEmployees[Employee ID],ROWS(A$96:A134)),"")</f>
        <v>WBS-1043</v>
      </c>
      <c r="B134" s="5" t="str">
        <f>IFERROR(INDEX(tblEmployees[Employee Name],ROWS(A$96:A134)),"")</f>
        <v>Shruti Bansal</v>
      </c>
      <c r="C134" s="26">
        <f>IF(A134="","",COUNTIF(tblOnboarding[Employee ID],A134))</f>
        <v>8</v>
      </c>
      <c r="D134" s="26">
        <f>IF(A134="","",COUNTIFS(tblOnboarding[Employee ID],A134,tblOnboarding[Status],"Completed"))</f>
        <v>6</v>
      </c>
      <c r="E134" s="26">
        <f t="shared" si="10"/>
        <v>2</v>
      </c>
      <c r="F134" s="21">
        <f t="shared" si="11"/>
        <v>0.75</v>
      </c>
      <c r="G134" s="28">
        <f t="shared" si="12"/>
        <v>0.75001340000000005</v>
      </c>
    </row>
    <row r="135" spans="1:7" x14ac:dyDescent="0.3">
      <c r="A135" s="5" t="str">
        <f>IFERROR(INDEX(tblEmployees[Employee ID],ROWS(A$96:A135)),"")</f>
        <v>WBS-1033</v>
      </c>
      <c r="B135" s="5" t="str">
        <f>IFERROR(INDEX(tblEmployees[Employee Name],ROWS(A$96:A135)),"")</f>
        <v>Siddharth Agarwal</v>
      </c>
      <c r="C135" s="26">
        <f>IF(A135="","",COUNTIF(tblOnboarding[Employee ID],A135))</f>
        <v>8</v>
      </c>
      <c r="D135" s="26">
        <f>IF(A135="","",COUNTIFS(tblOnboarding[Employee ID],A135,tblOnboarding[Status],"Completed"))</f>
        <v>7</v>
      </c>
      <c r="E135" s="26">
        <f t="shared" si="10"/>
        <v>1</v>
      </c>
      <c r="F135" s="21">
        <f t="shared" si="11"/>
        <v>0.875</v>
      </c>
      <c r="G135" s="28">
        <f t="shared" si="12"/>
        <v>0.8750135</v>
      </c>
    </row>
    <row r="136" spans="1:7" x14ac:dyDescent="0.3">
      <c r="A136" s="5" t="str">
        <f>IFERROR(INDEX(tblEmployees[Employee ID],ROWS(A$96:A136)),"")</f>
        <v>WBS-1006</v>
      </c>
      <c r="B136" s="5" t="str">
        <f>IFERROR(INDEX(tblEmployees[Employee Name],ROWS(A$96:A136)),"")</f>
        <v>Smita Pillai</v>
      </c>
      <c r="C136" s="26">
        <f>IF(A136="","",COUNTIF(tblOnboarding[Employee ID],A136))</f>
        <v>0</v>
      </c>
      <c r="D136" s="26">
        <f>IF(A136="","",COUNTIFS(tblOnboarding[Employee ID],A136,tblOnboarding[Status],"Completed"))</f>
        <v>0</v>
      </c>
      <c r="E136" s="26">
        <f t="shared" si="10"/>
        <v>0</v>
      </c>
      <c r="F136" s="21" t="str">
        <f t="shared" si="11"/>
        <v/>
      </c>
      <c r="G136" s="28" t="str">
        <f t="shared" si="12"/>
        <v/>
      </c>
    </row>
    <row r="137" spans="1:7" x14ac:dyDescent="0.3">
      <c r="A137" s="5" t="str">
        <f>IFERROR(INDEX(tblEmployees[Employee ID],ROWS(A$96:A137)),"")</f>
        <v>WBS-1031</v>
      </c>
      <c r="B137" s="5" t="str">
        <f>IFERROR(INDEX(tblEmployees[Employee Name],ROWS(A$96:A137)),"")</f>
        <v>Sumit Kadam</v>
      </c>
      <c r="C137" s="26">
        <f>IF(A137="","",COUNTIF(tblOnboarding[Employee ID],A137))</f>
        <v>0</v>
      </c>
      <c r="D137" s="26">
        <f>IF(A137="","",COUNTIFS(tblOnboarding[Employee ID],A137,tblOnboarding[Status],"Completed"))</f>
        <v>0</v>
      </c>
      <c r="E137" s="26">
        <f t="shared" si="10"/>
        <v>0</v>
      </c>
      <c r="F137" s="21" t="str">
        <f t="shared" si="11"/>
        <v/>
      </c>
      <c r="G137" s="28" t="str">
        <f t="shared" si="12"/>
        <v/>
      </c>
    </row>
    <row r="138" spans="1:7" x14ac:dyDescent="0.3">
      <c r="A138" s="5" t="str">
        <f>IFERROR(INDEX(tblEmployees[Employee ID],ROWS(A$96:A138)),"")</f>
        <v>WBS-1026</v>
      </c>
      <c r="B138" s="5" t="str">
        <f>IFERROR(INDEX(tblEmployees[Employee Name],ROWS(A$96:A138)),"")</f>
        <v>Supriya Rao</v>
      </c>
      <c r="C138" s="26">
        <f>IF(A138="","",COUNTIF(tblOnboarding[Employee ID],A138))</f>
        <v>0</v>
      </c>
      <c r="D138" s="26">
        <f>IF(A138="","",COUNTIFS(tblOnboarding[Employee ID],A138,tblOnboarding[Status],"Completed"))</f>
        <v>0</v>
      </c>
      <c r="E138" s="26">
        <f t="shared" si="10"/>
        <v>0</v>
      </c>
      <c r="F138" s="21" t="str">
        <f t="shared" si="11"/>
        <v/>
      </c>
      <c r="G138" s="28" t="str">
        <f t="shared" si="12"/>
        <v/>
      </c>
    </row>
    <row r="139" spans="1:7" x14ac:dyDescent="0.3">
      <c r="A139" s="5" t="str">
        <f>IFERROR(INDEX(tblEmployees[Employee ID],ROWS(A$96:A139)),"")</f>
        <v>WBS-1024</v>
      </c>
      <c r="B139" s="5" t="str">
        <f>IFERROR(INDEX(tblEmployees[Employee Name],ROWS(A$96:A139)),"")</f>
        <v>Suresh Singh</v>
      </c>
      <c r="C139" s="26">
        <f>IF(A139="","",COUNTIF(tblOnboarding[Employee ID],A139))</f>
        <v>0</v>
      </c>
      <c r="D139" s="26">
        <f>IF(A139="","",COUNTIFS(tblOnboarding[Employee ID],A139,tblOnboarding[Status],"Completed"))</f>
        <v>0</v>
      </c>
      <c r="E139" s="26">
        <f t="shared" si="10"/>
        <v>0</v>
      </c>
      <c r="F139" s="21" t="str">
        <f t="shared" si="11"/>
        <v/>
      </c>
      <c r="G139" s="28" t="str">
        <f t="shared" si="12"/>
        <v/>
      </c>
    </row>
    <row r="140" spans="1:7" x14ac:dyDescent="0.3">
      <c r="A140" s="5" t="str">
        <f>IFERROR(INDEX(tblEmployees[Employee ID],ROWS(A$96:A140)),"")</f>
        <v>WBS-1014</v>
      </c>
      <c r="B140" s="5" t="str">
        <f>IFERROR(INDEX(tblEmployees[Employee Name],ROWS(A$96:A140)),"")</f>
        <v>Tejas Shinde</v>
      </c>
      <c r="C140" s="26">
        <f>IF(A140="","",COUNTIF(tblOnboarding[Employee ID],A140))</f>
        <v>0</v>
      </c>
      <c r="D140" s="26">
        <f>IF(A140="","",COUNTIFS(tblOnboarding[Employee ID],A140,tblOnboarding[Status],"Completed"))</f>
        <v>0</v>
      </c>
      <c r="E140" s="26">
        <f t="shared" si="10"/>
        <v>0</v>
      </c>
      <c r="F140" s="21" t="str">
        <f t="shared" si="11"/>
        <v/>
      </c>
      <c r="G140" s="28" t="str">
        <f t="shared" si="12"/>
        <v/>
      </c>
    </row>
    <row r="141" spans="1:7" x14ac:dyDescent="0.3">
      <c r="A141" s="5" t="str">
        <f>IFERROR(INDEX(tblEmployees[Employee ID],ROWS(A$96:A141)),"")</f>
        <v>WBS-1020</v>
      </c>
      <c r="B141" s="5" t="str">
        <f>IFERROR(INDEX(tblEmployees[Employee Name],ROWS(A$96:A141)),"")</f>
        <v>Trupti Ghosh</v>
      </c>
      <c r="C141" s="26">
        <f>IF(A141="","",COUNTIF(tblOnboarding[Employee ID],A141))</f>
        <v>0</v>
      </c>
      <c r="D141" s="26">
        <f>IF(A141="","",COUNTIFS(tblOnboarding[Employee ID],A141,tblOnboarding[Status],"Completed"))</f>
        <v>0</v>
      </c>
      <c r="E141" s="26">
        <f t="shared" si="10"/>
        <v>0</v>
      </c>
      <c r="F141" s="21" t="str">
        <f t="shared" si="11"/>
        <v/>
      </c>
      <c r="G141" s="28" t="str">
        <f t="shared" si="12"/>
        <v/>
      </c>
    </row>
    <row r="142" spans="1:7" x14ac:dyDescent="0.3">
      <c r="A142" s="5" t="str">
        <f>IFERROR(INDEX(tblEmployees[Employee ID],ROWS(A$96:A142)),"")</f>
        <v>WBS-1035</v>
      </c>
      <c r="B142" s="5" t="str">
        <f>IFERROR(INDEX(tblEmployees[Employee Name],ROWS(A$96:A142)),"")</f>
        <v>Tushar Banerjee</v>
      </c>
      <c r="C142" s="26">
        <f>IF(A142="","",COUNTIF(tblOnboarding[Employee ID],A142))</f>
        <v>8</v>
      </c>
      <c r="D142" s="26">
        <f>IF(A142="","",COUNTIFS(tblOnboarding[Employee ID],A142,tblOnboarding[Status],"Completed"))</f>
        <v>7</v>
      </c>
      <c r="E142" s="26">
        <f t="shared" si="10"/>
        <v>1</v>
      </c>
      <c r="F142" s="21">
        <f t="shared" si="11"/>
        <v>0.875</v>
      </c>
      <c r="G142" s="28">
        <f t="shared" si="12"/>
        <v>0.87501419999999996</v>
      </c>
    </row>
    <row r="143" spans="1:7" x14ac:dyDescent="0.3">
      <c r="A143" s="5" t="str">
        <f>IFERROR(INDEX(tblEmployees[Employee ID],ROWS(A$96:A143)),"")</f>
        <v>WBS-1038</v>
      </c>
      <c r="B143" s="5" t="str">
        <f>IFERROR(INDEX(tblEmployees[Employee Name],ROWS(A$96:A143)),"")</f>
        <v>Vaishnavi Pillai</v>
      </c>
      <c r="C143" s="26">
        <f>IF(A143="","",COUNTIF(tblOnboarding[Employee ID],A143))</f>
        <v>8</v>
      </c>
      <c r="D143" s="26">
        <f>IF(A143="","",COUNTIFS(tblOnboarding[Employee ID],A143,tblOnboarding[Status],"Completed"))</f>
        <v>6</v>
      </c>
      <c r="E143" s="26">
        <f t="shared" si="10"/>
        <v>2</v>
      </c>
      <c r="F143" s="21">
        <f t="shared" si="11"/>
        <v>0.75</v>
      </c>
      <c r="G143" s="28">
        <f t="shared" si="12"/>
        <v>0.75001430000000002</v>
      </c>
    </row>
    <row r="144" spans="1:7" x14ac:dyDescent="0.3">
      <c r="A144" s="5" t="str">
        <f>IFERROR(INDEX(tblEmployees[Employee ID],ROWS(A$96:A144)),"")</f>
        <v>WBS-1047</v>
      </c>
      <c r="B144" s="5" t="str">
        <f>IFERROR(INDEX(tblEmployees[Employee Name],ROWS(A$96:A144)),"")</f>
        <v>Varun Salunkhe</v>
      </c>
      <c r="C144" s="26">
        <f>IF(A144="","",COUNTIF(tblOnboarding[Employee ID],A144))</f>
        <v>8</v>
      </c>
      <c r="D144" s="26">
        <f>IF(A144="","",COUNTIFS(tblOnboarding[Employee ID],A144,tblOnboarding[Status],"Completed"))</f>
        <v>3</v>
      </c>
      <c r="E144" s="26">
        <f t="shared" si="10"/>
        <v>5</v>
      </c>
      <c r="F144" s="21">
        <f t="shared" si="11"/>
        <v>0.375</v>
      </c>
      <c r="G144" s="28">
        <f t="shared" si="12"/>
        <v>0.37501440000000003</v>
      </c>
    </row>
    <row r="145" spans="1:7" x14ac:dyDescent="0.3">
      <c r="A145" s="5" t="str">
        <f>IFERROR(INDEX(tblEmployees[Employee ID],ROWS(A$96:A145)),"")</f>
        <v>WBS-1025</v>
      </c>
      <c r="B145" s="5" t="str">
        <f>IFERROR(INDEX(tblEmployees[Employee Name],ROWS(A$96:A145)),"")</f>
        <v>Yash Parikh</v>
      </c>
      <c r="C145" s="26">
        <f>IF(A145="","",COUNTIF(tblOnboarding[Employee ID],A145))</f>
        <v>0</v>
      </c>
      <c r="D145" s="26">
        <f>IF(A145="","",COUNTIFS(tblOnboarding[Employee ID],A145,tblOnboarding[Status],"Completed"))</f>
        <v>0</v>
      </c>
      <c r="E145" s="26">
        <f t="shared" si="10"/>
        <v>0</v>
      </c>
      <c r="F145" s="21" t="str">
        <f t="shared" si="11"/>
        <v/>
      </c>
      <c r="G145" s="28" t="str">
        <f t="shared" si="12"/>
        <v/>
      </c>
    </row>
    <row r="146" spans="1:7" x14ac:dyDescent="0.3">
      <c r="A146" s="5" t="str">
        <f>IFERROR(INDEX(tblEmployees[Employee ID],ROWS(A$96:A146)),"")</f>
        <v/>
      </c>
      <c r="B146" s="5" t="str">
        <f>IFERROR(INDEX(tblEmployees[Employee Name],ROWS(A$96:A146)),"")</f>
        <v/>
      </c>
      <c r="C146" s="26" t="str">
        <f>IF(A146="","",COUNTIF(tblOnboarding[Employee ID],A146))</f>
        <v/>
      </c>
      <c r="D146" s="26" t="str">
        <f>IF(A146="","",COUNTIFS(tblOnboarding[Employee ID],A146,tblOnboarding[Status],"Completed"))</f>
        <v/>
      </c>
      <c r="E146" s="26" t="str">
        <f t="shared" si="10"/>
        <v/>
      </c>
      <c r="F146" s="21" t="str">
        <f t="shared" si="11"/>
        <v/>
      </c>
      <c r="G146" s="28" t="str">
        <f t="shared" si="12"/>
        <v/>
      </c>
    </row>
    <row r="147" spans="1:7" x14ac:dyDescent="0.3">
      <c r="A147" s="5" t="str">
        <f>IFERROR(INDEX(tblEmployees[Employee ID],ROWS(A$96:A147)),"")</f>
        <v/>
      </c>
      <c r="B147" s="5" t="str">
        <f>IFERROR(INDEX(tblEmployees[Employee Name],ROWS(A$96:A147)),"")</f>
        <v/>
      </c>
      <c r="C147" s="26" t="str">
        <f>IF(A147="","",COUNTIF(tblOnboarding[Employee ID],A147))</f>
        <v/>
      </c>
      <c r="D147" s="26" t="str">
        <f>IF(A147="","",COUNTIFS(tblOnboarding[Employee ID],A147,tblOnboarding[Status],"Completed"))</f>
        <v/>
      </c>
      <c r="E147" s="26" t="str">
        <f t="shared" si="10"/>
        <v/>
      </c>
      <c r="F147" s="21" t="str">
        <f t="shared" si="11"/>
        <v/>
      </c>
      <c r="G147" s="28" t="str">
        <f t="shared" si="12"/>
        <v/>
      </c>
    </row>
    <row r="148" spans="1:7" x14ac:dyDescent="0.3">
      <c r="A148" s="5" t="str">
        <f>IFERROR(INDEX(tblEmployees[Employee ID],ROWS(A$96:A148)),"")</f>
        <v/>
      </c>
      <c r="B148" s="5" t="str">
        <f>IFERROR(INDEX(tblEmployees[Employee Name],ROWS(A$96:A148)),"")</f>
        <v/>
      </c>
      <c r="C148" s="26" t="str">
        <f>IF(A148="","",COUNTIF(tblOnboarding[Employee ID],A148))</f>
        <v/>
      </c>
      <c r="D148" s="26" t="str">
        <f>IF(A148="","",COUNTIFS(tblOnboarding[Employee ID],A148,tblOnboarding[Status],"Completed"))</f>
        <v/>
      </c>
      <c r="E148" s="26" t="str">
        <f t="shared" si="10"/>
        <v/>
      </c>
      <c r="F148" s="21" t="str">
        <f t="shared" si="11"/>
        <v/>
      </c>
      <c r="G148" s="28" t="str">
        <f t="shared" si="12"/>
        <v/>
      </c>
    </row>
    <row r="149" spans="1:7" x14ac:dyDescent="0.3">
      <c r="A149" s="5" t="str">
        <f>IFERROR(INDEX(tblEmployees[Employee ID],ROWS(A$96:A149)),"")</f>
        <v/>
      </c>
      <c r="B149" s="5" t="str">
        <f>IFERROR(INDEX(tblEmployees[Employee Name],ROWS(A$96:A149)),"")</f>
        <v/>
      </c>
      <c r="C149" s="26" t="str">
        <f>IF(A149="","",COUNTIF(tblOnboarding[Employee ID],A149))</f>
        <v/>
      </c>
      <c r="D149" s="26" t="str">
        <f>IF(A149="","",COUNTIFS(tblOnboarding[Employee ID],A149,tblOnboarding[Status],"Completed"))</f>
        <v/>
      </c>
      <c r="E149" s="26" t="str">
        <f t="shared" si="10"/>
        <v/>
      </c>
      <c r="F149" s="21" t="str">
        <f t="shared" si="11"/>
        <v/>
      </c>
      <c r="G149" s="28" t="str">
        <f t="shared" si="12"/>
        <v/>
      </c>
    </row>
    <row r="150" spans="1:7" x14ac:dyDescent="0.3">
      <c r="A150" s="5" t="str">
        <f>IFERROR(INDEX(tblEmployees[Employee ID],ROWS(A$96:A150)),"")</f>
        <v/>
      </c>
      <c r="B150" s="5" t="str">
        <f>IFERROR(INDEX(tblEmployees[Employee Name],ROWS(A$96:A150)),"")</f>
        <v/>
      </c>
      <c r="C150" s="26" t="str">
        <f>IF(A150="","",COUNTIF(tblOnboarding[Employee ID],A150))</f>
        <v/>
      </c>
      <c r="D150" s="26" t="str">
        <f>IF(A150="","",COUNTIFS(tblOnboarding[Employee ID],A150,tblOnboarding[Status],"Completed"))</f>
        <v/>
      </c>
      <c r="E150" s="26" t="str">
        <f t="shared" si="10"/>
        <v/>
      </c>
      <c r="F150" s="21" t="str">
        <f t="shared" si="11"/>
        <v/>
      </c>
      <c r="G150" s="28" t="str">
        <f t="shared" si="12"/>
        <v/>
      </c>
    </row>
    <row r="151" spans="1:7" x14ac:dyDescent="0.3">
      <c r="A151" s="5" t="str">
        <f>IFERROR(INDEX(tblEmployees[Employee ID],ROWS(A$96:A151)),"")</f>
        <v/>
      </c>
      <c r="B151" s="5" t="str">
        <f>IFERROR(INDEX(tblEmployees[Employee Name],ROWS(A$96:A151)),"")</f>
        <v/>
      </c>
      <c r="C151" s="26" t="str">
        <f>IF(A151="","",COUNTIF(tblOnboarding[Employee ID],A151))</f>
        <v/>
      </c>
      <c r="D151" s="26" t="str">
        <f>IF(A151="","",COUNTIFS(tblOnboarding[Employee ID],A151,tblOnboarding[Status],"Completed"))</f>
        <v/>
      </c>
      <c r="E151" s="26" t="str">
        <f t="shared" si="10"/>
        <v/>
      </c>
      <c r="F151" s="21" t="str">
        <f t="shared" si="11"/>
        <v/>
      </c>
      <c r="G151" s="28" t="str">
        <f t="shared" si="12"/>
        <v/>
      </c>
    </row>
    <row r="152" spans="1:7" x14ac:dyDescent="0.3">
      <c r="A152" s="5" t="str">
        <f>IFERROR(INDEX(tblEmployees[Employee ID],ROWS(A$96:A152)),"")</f>
        <v/>
      </c>
      <c r="B152" s="5" t="str">
        <f>IFERROR(INDEX(tblEmployees[Employee Name],ROWS(A$96:A152)),"")</f>
        <v/>
      </c>
      <c r="C152" s="26" t="str">
        <f>IF(A152="","",COUNTIF(tblOnboarding[Employee ID],A152))</f>
        <v/>
      </c>
      <c r="D152" s="26" t="str">
        <f>IF(A152="","",COUNTIFS(tblOnboarding[Employee ID],A152,tblOnboarding[Status],"Completed"))</f>
        <v/>
      </c>
      <c r="E152" s="26" t="str">
        <f t="shared" si="10"/>
        <v/>
      </c>
      <c r="F152" s="21" t="str">
        <f t="shared" si="11"/>
        <v/>
      </c>
      <c r="G152" s="28" t="str">
        <f t="shared" si="12"/>
        <v/>
      </c>
    </row>
    <row r="153" spans="1:7" x14ac:dyDescent="0.3">
      <c r="A153" s="5" t="str">
        <f>IFERROR(INDEX(tblEmployees[Employee ID],ROWS(A$96:A153)),"")</f>
        <v/>
      </c>
      <c r="B153" s="5" t="str">
        <f>IFERROR(INDEX(tblEmployees[Employee Name],ROWS(A$96:A153)),"")</f>
        <v/>
      </c>
      <c r="C153" s="26" t="str">
        <f>IF(A153="","",COUNTIF(tblOnboarding[Employee ID],A153))</f>
        <v/>
      </c>
      <c r="D153" s="26" t="str">
        <f>IF(A153="","",COUNTIFS(tblOnboarding[Employee ID],A153,tblOnboarding[Status],"Completed"))</f>
        <v/>
      </c>
      <c r="E153" s="26" t="str">
        <f t="shared" si="10"/>
        <v/>
      </c>
      <c r="F153" s="21" t="str">
        <f t="shared" si="11"/>
        <v/>
      </c>
      <c r="G153" s="28" t="str">
        <f t="shared" si="12"/>
        <v/>
      </c>
    </row>
    <row r="154" spans="1:7" x14ac:dyDescent="0.3">
      <c r="A154" s="5" t="str">
        <f>IFERROR(INDEX(tblEmployees[Employee ID],ROWS(A$96:A154)),"")</f>
        <v/>
      </c>
      <c r="B154" s="5" t="str">
        <f>IFERROR(INDEX(tblEmployees[Employee Name],ROWS(A$96:A154)),"")</f>
        <v/>
      </c>
      <c r="C154" s="26" t="str">
        <f>IF(A154="","",COUNTIF(tblOnboarding[Employee ID],A154))</f>
        <v/>
      </c>
      <c r="D154" s="26" t="str">
        <f>IF(A154="","",COUNTIFS(tblOnboarding[Employee ID],A154,tblOnboarding[Status],"Completed"))</f>
        <v/>
      </c>
      <c r="E154" s="26" t="str">
        <f t="shared" si="10"/>
        <v/>
      </c>
      <c r="F154" s="21" t="str">
        <f t="shared" si="11"/>
        <v/>
      </c>
      <c r="G154" s="28" t="str">
        <f t="shared" si="12"/>
        <v/>
      </c>
    </row>
    <row r="155" spans="1:7" x14ac:dyDescent="0.3">
      <c r="A155" s="5" t="str">
        <f>IFERROR(INDEX(tblEmployees[Employee ID],ROWS(A$96:A155)),"")</f>
        <v/>
      </c>
      <c r="B155" s="5" t="str">
        <f>IFERROR(INDEX(tblEmployees[Employee Name],ROWS(A$96:A155)),"")</f>
        <v/>
      </c>
      <c r="C155" s="26" t="str">
        <f>IF(A155="","",COUNTIF(tblOnboarding[Employee ID],A155))</f>
        <v/>
      </c>
      <c r="D155" s="26" t="str">
        <f>IF(A155="","",COUNTIFS(tblOnboarding[Employee ID],A155,tblOnboarding[Status],"Completed"))</f>
        <v/>
      </c>
      <c r="E155" s="26" t="str">
        <f t="shared" si="10"/>
        <v/>
      </c>
      <c r="F155" s="21" t="str">
        <f t="shared" si="11"/>
        <v/>
      </c>
      <c r="G155" s="28" t="str">
        <f t="shared" si="12"/>
        <v/>
      </c>
    </row>
  </sheetData>
  <mergeCells count="24">
    <mergeCell ref="J60:R61"/>
    <mergeCell ref="A63:H63"/>
    <mergeCell ref="A64:H64"/>
    <mergeCell ref="A65:H65"/>
    <mergeCell ref="C52:H52"/>
    <mergeCell ref="C53:H53"/>
    <mergeCell ref="C54:H54"/>
    <mergeCell ref="C55:H55"/>
    <mergeCell ref="C56:H56"/>
    <mergeCell ref="C16:H16"/>
    <mergeCell ref="C17:H17"/>
    <mergeCell ref="C18:H18"/>
    <mergeCell ref="J23:R24"/>
    <mergeCell ref="J40:R41"/>
    <mergeCell ref="C11:H11"/>
    <mergeCell ref="C12:H12"/>
    <mergeCell ref="C13:H13"/>
    <mergeCell ref="C14:H14"/>
    <mergeCell ref="C15:H15"/>
    <mergeCell ref="C4:H4"/>
    <mergeCell ref="C5:H5"/>
    <mergeCell ref="C8:H8"/>
    <mergeCell ref="C9:H9"/>
    <mergeCell ref="C10:H10"/>
  </mergeCells>
  <conditionalFormatting sqref="C69:C79">
    <cfRule type="cellIs" dxfId="6" priority="2" operator="equal">
      <formula>"OK"</formula>
    </cfRule>
    <cfRule type="cellIs" dxfId="5" priority="3" operator="equal">
      <formula>"Check"</formula>
    </cfRule>
  </conditionalFormatting>
  <conditionalFormatting sqref="C60">
    <cfRule type="cellIs" dxfId="4" priority="4" operator="equal">
      <formula>"OK"</formula>
    </cfRule>
    <cfRule type="cellIs" dxfId="3" priority="5" operator="equal">
      <formula>"Check"</formula>
    </cfRule>
  </conditionalFormatting>
  <conditionalFormatting sqref="B14">
    <cfRule type="cellIs" dxfId="2" priority="6" operator="greaterThan">
      <formula>0</formula>
    </cfRule>
  </conditionalFormatting>
  <conditionalFormatting sqref="C33:C36">
    <cfRule type="cellIs" dxfId="1" priority="7" operator="greaterThan">
      <formula>0</formula>
    </cfRule>
  </conditionalFormatting>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zoomScaleNormal="100" workbookViewId="0">
      <pane ySplit="1" topLeftCell="A2" activePane="bottomLeft" state="frozen"/>
      <selection pane="bottomLeft"/>
    </sheetView>
  </sheetViews>
  <sheetFormatPr defaultColWidth="8.6640625" defaultRowHeight="14.4" x14ac:dyDescent="0.3"/>
  <cols>
    <col min="1" max="5" width="22" customWidth="1"/>
    <col min="6" max="6" width="34" customWidth="1"/>
    <col min="7" max="9" width="22" customWidth="1"/>
  </cols>
  <sheetData>
    <row r="1" spans="1:9" ht="27.75" customHeight="1" x14ac:dyDescent="0.3">
      <c r="A1" s="29" t="s">
        <v>2</v>
      </c>
      <c r="B1" s="29" t="s">
        <v>6</v>
      </c>
      <c r="C1" s="29" t="s">
        <v>7</v>
      </c>
      <c r="D1" s="29" t="s">
        <v>158</v>
      </c>
      <c r="E1" s="29" t="s">
        <v>432</v>
      </c>
      <c r="F1" s="29" t="s">
        <v>157</v>
      </c>
      <c r="G1" s="29" t="s">
        <v>335</v>
      </c>
      <c r="H1" s="29" t="s">
        <v>336</v>
      </c>
      <c r="I1" s="29" t="s">
        <v>337</v>
      </c>
    </row>
    <row r="2" spans="1:9" x14ac:dyDescent="0.3">
      <c r="A2" s="30" t="s">
        <v>39</v>
      </c>
      <c r="B2" s="30" t="s">
        <v>25</v>
      </c>
      <c r="C2" s="30" t="s">
        <v>20</v>
      </c>
      <c r="D2" s="30" t="s">
        <v>168</v>
      </c>
      <c r="E2" s="30" t="s">
        <v>205</v>
      </c>
      <c r="F2" s="30" t="s">
        <v>167</v>
      </c>
      <c r="G2" s="30" t="s">
        <v>339</v>
      </c>
      <c r="H2" s="30" t="s">
        <v>340</v>
      </c>
      <c r="I2" s="30" t="s">
        <v>344</v>
      </c>
    </row>
    <row r="3" spans="1:9" x14ac:dyDescent="0.3">
      <c r="A3" s="30" t="s">
        <v>33</v>
      </c>
      <c r="B3" s="30" t="s">
        <v>13</v>
      </c>
      <c r="C3" s="30" t="s">
        <v>14</v>
      </c>
      <c r="D3" s="30" t="s">
        <v>175</v>
      </c>
      <c r="E3" s="30" t="s">
        <v>187</v>
      </c>
      <c r="F3" s="30" t="s">
        <v>172</v>
      </c>
      <c r="G3" s="30" t="s">
        <v>342</v>
      </c>
      <c r="H3" s="30" t="s">
        <v>349</v>
      </c>
      <c r="I3" s="30" t="s">
        <v>341</v>
      </c>
    </row>
    <row r="4" spans="1:9" x14ac:dyDescent="0.3">
      <c r="A4" s="30" t="s">
        <v>28</v>
      </c>
      <c r="B4" s="30" t="s">
        <v>36</v>
      </c>
      <c r="C4" s="30" t="s">
        <v>59</v>
      </c>
      <c r="D4" s="30" t="s">
        <v>182</v>
      </c>
      <c r="E4" s="30" t="s">
        <v>169</v>
      </c>
      <c r="F4" s="30" t="s">
        <v>174</v>
      </c>
      <c r="G4" s="30" t="s">
        <v>343</v>
      </c>
      <c r="I4" s="30" t="s">
        <v>347</v>
      </c>
    </row>
    <row r="5" spans="1:9" x14ac:dyDescent="0.3">
      <c r="A5" s="30" t="s">
        <v>10</v>
      </c>
      <c r="D5" s="30" t="s">
        <v>5</v>
      </c>
      <c r="F5" s="30" t="s">
        <v>177</v>
      </c>
      <c r="G5" s="30" t="s">
        <v>346</v>
      </c>
    </row>
    <row r="6" spans="1:9" x14ac:dyDescent="0.3">
      <c r="A6" s="30" t="s">
        <v>17</v>
      </c>
      <c r="F6" s="30" t="s">
        <v>179</v>
      </c>
    </row>
    <row r="7" spans="1:9" x14ac:dyDescent="0.3">
      <c r="A7" s="30" t="s">
        <v>23</v>
      </c>
      <c r="F7" s="30" t="s">
        <v>181</v>
      </c>
    </row>
    <row r="8" spans="1:9" x14ac:dyDescent="0.3">
      <c r="A8" s="30" t="s">
        <v>53</v>
      </c>
      <c r="F8" s="30" t="s">
        <v>184</v>
      </c>
    </row>
    <row r="9" spans="1:9" x14ac:dyDescent="0.3">
      <c r="A9" s="30" t="s">
        <v>64</v>
      </c>
      <c r="F9" s="30" t="s">
        <v>186</v>
      </c>
    </row>
    <row r="13" spans="1:9" x14ac:dyDescent="0.3">
      <c r="A13" s="11" t="s">
        <v>433</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16</vt:i4>
      </vt:variant>
    </vt:vector>
  </HeadingPairs>
  <TitlesOfParts>
    <vt:vector size="21" baseType="lpstr">
      <vt:lpstr>Employee Master</vt:lpstr>
      <vt:lpstr>Onboarding Tracker</vt:lpstr>
      <vt:lpstr>Document Checklist</vt:lpstr>
      <vt:lpstr>HR Operations Dashboard</vt:lpstr>
      <vt:lpstr>Lists</vt:lpstr>
      <vt:lpstr>DueSoonDays</vt:lpstr>
      <vt:lpstr>EmployeeIDs</vt:lpstr>
      <vt:lpstr>lstDepartment</vt:lpstr>
      <vt:lpstr>lstDocType</vt:lpstr>
      <vt:lpstr>lstEmpStatus</vt:lpstr>
      <vt:lpstr>lstLocation</vt:lpstr>
      <vt:lpstr>lstOwner</vt:lpstr>
      <vt:lpstr>lstSubmission</vt:lpstr>
      <vt:lpstr>lstTask</vt:lpstr>
      <vt:lpstr>lstTaskStatus</vt:lpstr>
      <vt:lpstr>lstVerification</vt:lpstr>
      <vt:lpstr>'HR Operations Dashboard'!Print_Area</vt:lpstr>
      <vt:lpstr>'Document Checklist'!Print_Titles</vt:lpstr>
      <vt:lpstr>'Employee Master'!Print_Titles</vt:lpstr>
      <vt:lpstr>'Onboarding Tracker'!Print_Titles</vt:lpstr>
      <vt:lpstr>ReportDate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HR Onboarding Tracker</dc:title>
  <dc:subject/>
  <dc:creator>Westline HR (sample workbook)</dc:creator>
  <dc:description/>
  <cp:lastModifiedBy>DELL</cp:lastModifiedBy>
  <cp:revision>1</cp:revision>
  <dcterms:created xsi:type="dcterms:W3CDTF">2026-10-16T04:03:01Z</dcterms:created>
  <dcterms:modified xsi:type="dcterms:W3CDTF">2026-10-16T05:29:54Z</dcterms:modified>
  <dc:language>en-US</dc:language>
</cp:coreProperties>
</file>